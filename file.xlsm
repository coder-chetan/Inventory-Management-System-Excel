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defaultThemeVersion="124226"/>
  <bookViews>
    <workbookView xWindow="240" yWindow="60" windowWidth="20115" windowHeight="8010" activeTab="5"/>
  </bookViews>
  <sheets>
    <sheet name="Extra" sheetId="5" r:id="rId1"/>
    <sheet name="Inventory" sheetId="1" r:id="rId2"/>
    <sheet name="Pivot Table" sheetId="4" r:id="rId3"/>
    <sheet name="DASHBOARD" sheetId="3" r:id="rId4"/>
    <sheet name="Connections" sheetId="7" r:id="rId5"/>
    <sheet name="LIST" sheetId="2" r:id="rId6"/>
  </sheets>
  <definedNames>
    <definedName name="_xlnm._FilterDatabase" localSheetId="1" hidden="1">Inventory!$B$6:$K$6</definedName>
    <definedName name="Slicer_Prod_Name">#N/A</definedName>
    <definedName name="Slicer_Prod_Type">#N/A</definedName>
  </definedNames>
  <calcPr calcId="144525"/>
  <pivotCaches>
    <pivotCache cacheId="0" r:id="rId7"/>
    <pivotCache cacheId="1" r:id="rId8"/>
    <pivotCache cacheId="2"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7" i="1" l="1"/>
  <c r="C8" i="1"/>
  <c r="C9" i="1"/>
  <c r="C10" i="1"/>
  <c r="C11" i="1"/>
  <c r="C12" i="1"/>
  <c r="C13" i="1"/>
  <c r="C14" i="1"/>
  <c r="C15" i="1"/>
  <c r="C16" i="1"/>
  <c r="C17" i="1"/>
  <c r="C18" i="1"/>
  <c r="C19" i="1"/>
  <c r="C20" i="1"/>
  <c r="C21" i="1"/>
  <c r="C22" i="1"/>
  <c r="C23" i="1"/>
  <c r="I7" i="1"/>
  <c r="J7" i="1" s="1"/>
  <c r="I8" i="1"/>
  <c r="J8" i="1" s="1"/>
  <c r="I9" i="1"/>
  <c r="J9" i="1" s="1"/>
  <c r="I10" i="1"/>
  <c r="J10" i="1" s="1"/>
  <c r="I11" i="1"/>
  <c r="J11" i="1" s="1"/>
  <c r="I12" i="1"/>
  <c r="J12" i="1" s="1"/>
  <c r="I13" i="1"/>
  <c r="J13" i="1" s="1"/>
  <c r="I14" i="1"/>
  <c r="J14" i="1" s="1"/>
  <c r="I15" i="1"/>
  <c r="J15" i="1" s="1"/>
  <c r="I16" i="1"/>
  <c r="J16" i="1" s="1"/>
  <c r="I17" i="1"/>
  <c r="J17" i="1" s="1"/>
  <c r="I18" i="1"/>
  <c r="J18" i="1" s="1"/>
  <c r="I19" i="1"/>
  <c r="J19" i="1" s="1"/>
  <c r="I20" i="1"/>
  <c r="J20" i="1" s="1"/>
  <c r="I21" i="1"/>
  <c r="J21" i="1" s="1"/>
  <c r="I22" i="1"/>
  <c r="J22" i="1" s="1"/>
  <c r="I23" i="1"/>
  <c r="J23" i="1" s="1"/>
  <c r="G9" i="3"/>
  <c r="S9" i="3"/>
  <c r="O9" i="3"/>
  <c r="K9" i="3"/>
  <c r="AB21" i="1" l="1"/>
  <c r="AB22" i="1"/>
  <c r="AB23" i="1"/>
  <c r="Y23" i="1"/>
  <c r="Y22" i="1"/>
  <c r="Y21" i="1"/>
  <c r="Y20" i="1"/>
  <c r="AB20" i="1" s="1"/>
  <c r="Y19" i="1"/>
  <c r="AB19" i="1" s="1"/>
  <c r="Y18" i="1"/>
  <c r="AB18" i="1" s="1"/>
  <c r="Y17" i="1"/>
  <c r="AB17" i="1" s="1"/>
  <c r="Y16" i="1"/>
  <c r="AB16" i="1" s="1"/>
  <c r="Y15" i="1"/>
  <c r="AB15" i="1" s="1"/>
  <c r="Y14" i="1"/>
  <c r="AB14" i="1" s="1"/>
  <c r="Y13" i="1"/>
  <c r="AB13" i="1" s="1"/>
  <c r="Y12" i="1"/>
  <c r="AB12" i="1" s="1"/>
  <c r="Y11" i="1"/>
  <c r="AB11" i="1" s="1"/>
  <c r="Y10" i="1"/>
  <c r="AB10" i="1" s="1"/>
  <c r="Y9" i="1"/>
  <c r="AB9" i="1" s="1"/>
  <c r="Y8" i="1"/>
  <c r="AB8" i="1" s="1"/>
  <c r="Y7" i="1"/>
  <c r="AB7" i="1" s="1"/>
  <c r="R23" i="1"/>
  <c r="P23" i="1"/>
  <c r="O23" i="1"/>
  <c r="R22" i="1"/>
  <c r="P22" i="1"/>
  <c r="O22" i="1"/>
  <c r="R21" i="1"/>
  <c r="P21" i="1"/>
  <c r="O21" i="1"/>
  <c r="R20" i="1"/>
  <c r="P20" i="1"/>
  <c r="O20" i="1"/>
  <c r="R19" i="1"/>
  <c r="P19" i="1"/>
  <c r="O19" i="1"/>
  <c r="R18" i="1"/>
  <c r="P18" i="1"/>
  <c r="O18" i="1"/>
  <c r="R17" i="1"/>
  <c r="P17" i="1"/>
  <c r="O17" i="1"/>
  <c r="R16" i="1"/>
  <c r="P16" i="1"/>
  <c r="O16" i="1"/>
  <c r="R15" i="1"/>
  <c r="P15" i="1"/>
  <c r="O15" i="1"/>
  <c r="R14" i="1"/>
  <c r="P14" i="1"/>
  <c r="O14" i="1"/>
  <c r="R13" i="1"/>
  <c r="P13" i="1"/>
  <c r="O13" i="1"/>
  <c r="R12" i="1"/>
  <c r="P12" i="1"/>
  <c r="O12" i="1"/>
  <c r="R11" i="1"/>
  <c r="P11" i="1"/>
  <c r="O11" i="1"/>
  <c r="R10" i="1"/>
  <c r="P10" i="1"/>
  <c r="O10" i="1"/>
  <c r="R9" i="1"/>
  <c r="P9" i="1"/>
  <c r="O9" i="1"/>
  <c r="R8" i="1"/>
  <c r="P8" i="1"/>
  <c r="O8" i="1"/>
  <c r="R7" i="1"/>
  <c r="P7" i="1"/>
  <c r="O7" i="1"/>
  <c r="E8" i="1"/>
  <c r="F8" i="1"/>
  <c r="H8" i="1"/>
  <c r="E9" i="1"/>
  <c r="F9" i="1"/>
  <c r="H9" i="1"/>
  <c r="E10" i="1"/>
  <c r="F10" i="1"/>
  <c r="H10" i="1"/>
  <c r="H7" i="1" l="1"/>
  <c r="H11" i="1"/>
  <c r="H12" i="1"/>
  <c r="H13" i="1"/>
  <c r="H14" i="1"/>
  <c r="H15" i="1"/>
  <c r="H16" i="1"/>
  <c r="H17" i="1"/>
  <c r="H18" i="1"/>
  <c r="H19" i="1"/>
  <c r="H20" i="1"/>
  <c r="H21" i="1"/>
  <c r="H22" i="1"/>
  <c r="H23" i="1"/>
  <c r="F7" i="1"/>
  <c r="F11" i="1"/>
  <c r="F12" i="1"/>
  <c r="F13" i="1"/>
  <c r="F14" i="1"/>
  <c r="F15" i="1"/>
  <c r="F16" i="1"/>
  <c r="F17" i="1"/>
  <c r="F18" i="1"/>
  <c r="F19" i="1"/>
  <c r="F20" i="1"/>
  <c r="F21" i="1"/>
  <c r="F22" i="1"/>
  <c r="F23" i="1"/>
  <c r="E7" i="1"/>
  <c r="E11" i="1"/>
  <c r="E12" i="1"/>
  <c r="E13" i="1"/>
  <c r="E14" i="1"/>
  <c r="E15" i="1"/>
  <c r="E16" i="1"/>
  <c r="E17" i="1"/>
  <c r="E18" i="1"/>
  <c r="E19" i="1"/>
  <c r="E20" i="1"/>
  <c r="E21" i="1"/>
  <c r="E22" i="1"/>
  <c r="E23" i="1"/>
</calcChain>
</file>

<file path=xl/sharedStrings.xml><?xml version="1.0" encoding="utf-8"?>
<sst xmlns="http://schemas.openxmlformats.org/spreadsheetml/2006/main" count="158" uniqueCount="73">
  <si>
    <t>COMPANY NAME</t>
  </si>
  <si>
    <t>OFFICE INVENTORY MANAGEMENT SYSTEM</t>
  </si>
  <si>
    <t>Date</t>
  </si>
  <si>
    <t>Qty</t>
  </si>
  <si>
    <t>Unit</t>
  </si>
  <si>
    <t>Remarks</t>
  </si>
  <si>
    <t>Prod_Name</t>
  </si>
  <si>
    <t>Product_ID</t>
  </si>
  <si>
    <t>Prod_Type</t>
  </si>
  <si>
    <t>STOCK-IN</t>
  </si>
  <si>
    <t>STOCK-OUT</t>
  </si>
  <si>
    <t>BALANCE-IN</t>
  </si>
  <si>
    <t>TYPES</t>
  </si>
  <si>
    <t>UNIT</t>
  </si>
  <si>
    <t>Suagar</t>
  </si>
  <si>
    <t>Soap</t>
  </si>
  <si>
    <t>Pencil</t>
  </si>
  <si>
    <t>Spoon</t>
  </si>
  <si>
    <t>Salt</t>
  </si>
  <si>
    <t>Glass</t>
  </si>
  <si>
    <t>Duster</t>
  </si>
  <si>
    <t>DM01</t>
  </si>
  <si>
    <t>DM02</t>
  </si>
  <si>
    <t>DM03</t>
  </si>
  <si>
    <t>DM04</t>
  </si>
  <si>
    <t>DM05</t>
  </si>
  <si>
    <t>DM06</t>
  </si>
  <si>
    <t>DM07</t>
  </si>
  <si>
    <t>abc</t>
  </si>
  <si>
    <t>xyz</t>
  </si>
  <si>
    <t>ccc</t>
  </si>
  <si>
    <t>g</t>
  </si>
  <si>
    <t>ml</t>
  </si>
  <si>
    <t>kg</t>
  </si>
  <si>
    <t>lt</t>
  </si>
  <si>
    <t>Opening Balance</t>
  </si>
  <si>
    <t>DM08</t>
  </si>
  <si>
    <t>DM09</t>
  </si>
  <si>
    <t>DM10</t>
  </si>
  <si>
    <t>DM11</t>
  </si>
  <si>
    <t>DM12</t>
  </si>
  <si>
    <t>DM13</t>
  </si>
  <si>
    <t>DM14</t>
  </si>
  <si>
    <t>Board</t>
  </si>
  <si>
    <t>Pan</t>
  </si>
  <si>
    <t>Paper</t>
  </si>
  <si>
    <t>Box</t>
  </si>
  <si>
    <t>Mobile</t>
  </si>
  <si>
    <t>Tea</t>
  </si>
  <si>
    <t>Milk</t>
  </si>
  <si>
    <t>`</t>
  </si>
  <si>
    <t>Min Bal Required</t>
  </si>
  <si>
    <t>Suggestion</t>
  </si>
  <si>
    <t xml:space="preserve"> </t>
  </si>
  <si>
    <t>DASHBOARD - INVENTORY MANAGEMENT SYSTEM</t>
  </si>
  <si>
    <t>Balance_in_Stock</t>
  </si>
  <si>
    <t>Stock_Out</t>
  </si>
  <si>
    <t>Stock_In</t>
  </si>
  <si>
    <t>Purchase_Cost</t>
  </si>
  <si>
    <t>Products Placing Order</t>
  </si>
  <si>
    <t>Cost By Month</t>
  </si>
  <si>
    <t>Company Name</t>
  </si>
  <si>
    <t>Unit_Price</t>
  </si>
  <si>
    <t>Total_Cost</t>
  </si>
  <si>
    <t>Month</t>
  </si>
  <si>
    <t>Row Labels</t>
  </si>
  <si>
    <t>Nov</t>
  </si>
  <si>
    <t>Dec</t>
  </si>
  <si>
    <t>Grand Total</t>
  </si>
  <si>
    <t>Sum of Total_Cost</t>
  </si>
  <si>
    <t>Sum of Qty</t>
  </si>
  <si>
    <t>Balance in Stock</t>
  </si>
  <si>
    <t>(blank)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</si>
</sst>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8" formatCode="&quot;$&quot;#,##0.00_);[Red]\(&quot;$&quot;#,##0.00\)"/>
  </numFmts>
  <fonts count="10" x14ac:knownFonts="1">
    <font>
      <sz val="11"/>
      <color theme="1"/>
      <name val="Calibri"/>
      <family val="2"/>
      <scheme val="minor"/>
    </font>
    <font>
      <b/>
      <sz val="11"/>
      <color theme="1"/>
      <name val="Calibri"/>
      <family val="2"/>
      <scheme val="minor"/>
    </font>
    <font>
      <b/>
      <sz val="16"/>
      <color theme="1"/>
      <name val="Calibri"/>
      <family val="2"/>
      <scheme val="minor"/>
    </font>
    <font>
      <b/>
      <sz val="18"/>
      <color rgb="FF7030A0"/>
      <name val="Calibri"/>
      <family val="2"/>
      <scheme val="minor"/>
    </font>
    <font>
      <b/>
      <sz val="18"/>
      <color rgb="FFC00000"/>
      <name val="Calibri"/>
      <family val="2"/>
      <scheme val="minor"/>
    </font>
    <font>
      <sz val="12"/>
      <color theme="1"/>
      <name val="Calibri"/>
      <family val="2"/>
      <scheme val="minor"/>
    </font>
    <font>
      <b/>
      <sz val="26"/>
      <color theme="0"/>
      <name val="Calibri"/>
      <family val="2"/>
      <scheme val="minor"/>
    </font>
    <font>
      <b/>
      <sz val="28"/>
      <color theme="3"/>
      <name val="Calibri"/>
      <family val="2"/>
      <scheme val="minor"/>
    </font>
    <font>
      <b/>
      <sz val="16"/>
      <color theme="0"/>
      <name val="Calibri"/>
      <family val="2"/>
      <scheme val="minor"/>
    </font>
    <font>
      <b/>
      <sz val="22"/>
      <color rgb="FFC00000"/>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
      <patternFill patternType="solid">
        <fgColor theme="3"/>
        <bgColor indexed="64"/>
      </patternFill>
    </fill>
    <fill>
      <patternFill patternType="solid">
        <fgColor rgb="FF00B0F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s>
  <cellStyleXfs count="1">
    <xf numFmtId="0" fontId="0" fillId="0" borderId="0"/>
  </cellStyleXfs>
  <cellXfs count="41">
    <xf numFmtId="0" fontId="0" fillId="0" borderId="0" xfId="0"/>
    <xf numFmtId="0" fontId="0" fillId="2" borderId="0" xfId="0" applyFill="1"/>
    <xf numFmtId="0" fontId="0" fillId="0" borderId="1" xfId="0" applyFill="1" applyBorder="1"/>
    <xf numFmtId="0" fontId="1" fillId="0" borderId="0" xfId="0" applyFont="1" applyAlignment="1">
      <alignment horizontal="center"/>
    </xf>
    <xf numFmtId="0" fontId="0" fillId="0" borderId="4" xfId="0" applyFill="1" applyBorder="1"/>
    <xf numFmtId="0" fontId="0" fillId="0" borderId="2" xfId="0" applyFill="1" applyBorder="1"/>
    <xf numFmtId="0" fontId="0" fillId="0" borderId="8" xfId="0" applyFill="1" applyBorder="1"/>
    <xf numFmtId="0" fontId="0" fillId="0" borderId="9" xfId="0" applyFill="1" applyBorder="1"/>
    <xf numFmtId="0" fontId="0" fillId="0" borderId="10" xfId="0" applyFill="1" applyBorder="1"/>
    <xf numFmtId="0" fontId="0" fillId="2" borderId="0" xfId="0" applyFill="1" applyAlignment="1">
      <alignment vertical="center"/>
    </xf>
    <xf numFmtId="0" fontId="1" fillId="0" borderId="5" xfId="0" applyFont="1" applyFill="1" applyBorder="1" applyAlignment="1">
      <alignment horizontal="center" vertical="center"/>
    </xf>
    <xf numFmtId="0" fontId="1" fillId="0" borderId="6" xfId="0" applyFont="1" applyFill="1" applyBorder="1" applyAlignment="1">
      <alignment horizontal="center" vertical="center"/>
    </xf>
    <xf numFmtId="0" fontId="1" fillId="0" borderId="7" xfId="0" applyFont="1" applyFill="1" applyBorder="1" applyAlignment="1">
      <alignment horizontal="center" vertical="center"/>
    </xf>
    <xf numFmtId="0" fontId="5" fillId="2" borderId="0" xfId="0" applyFont="1" applyFill="1"/>
    <xf numFmtId="0" fontId="0" fillId="0" borderId="4" xfId="0" applyFill="1" applyBorder="1" applyAlignment="1">
      <alignment horizontal="center"/>
    </xf>
    <xf numFmtId="0" fontId="0" fillId="2" borderId="0" xfId="0" applyFill="1" applyBorder="1"/>
    <xf numFmtId="15" fontId="0" fillId="0" borderId="4" xfId="0" applyNumberFormat="1" applyFill="1" applyBorder="1"/>
    <xf numFmtId="15" fontId="0" fillId="0" borderId="8" xfId="0" applyNumberFormat="1" applyFill="1" applyBorder="1"/>
    <xf numFmtId="0" fontId="0" fillId="4" borderId="0" xfId="0" applyFill="1"/>
    <xf numFmtId="0" fontId="0" fillId="0" borderId="1" xfId="0" applyBorder="1"/>
    <xf numFmtId="0" fontId="0" fillId="0" borderId="0" xfId="0" pivotButton="1"/>
    <xf numFmtId="0" fontId="0" fillId="0" borderId="0" xfId="0" applyAlignment="1">
      <alignment horizontal="left"/>
    </xf>
    <xf numFmtId="0" fontId="0" fillId="0" borderId="0" xfId="0" applyNumberFormat="1"/>
    <xf numFmtId="0" fontId="0" fillId="6" borderId="0" xfId="0" applyFill="1"/>
    <xf numFmtId="0" fontId="0" fillId="8" borderId="0" xfId="0" applyFill="1"/>
    <xf numFmtId="0" fontId="1" fillId="9" borderId="0" xfId="0" applyFont="1" applyFill="1" applyAlignment="1">
      <alignment horizontal="center"/>
    </xf>
    <xf numFmtId="0" fontId="0" fillId="0" borderId="0" xfId="0" applyAlignment="1">
      <alignment horizontal="center"/>
    </xf>
    <xf numFmtId="0" fontId="2" fillId="0" borderId="2" xfId="0" applyFont="1" applyFill="1" applyBorder="1" applyAlignment="1">
      <alignment horizontal="center"/>
    </xf>
    <xf numFmtId="0" fontId="2" fillId="0" borderId="3" xfId="0" applyFont="1" applyFill="1" applyBorder="1" applyAlignment="1">
      <alignment horizontal="center"/>
    </xf>
    <xf numFmtId="0" fontId="2" fillId="0" borderId="4" xfId="0" applyFont="1" applyFill="1" applyBorder="1" applyAlignment="1">
      <alignment horizontal="center"/>
    </xf>
    <xf numFmtId="0" fontId="4" fillId="3" borderId="0" xfId="0" applyFont="1" applyFill="1" applyBorder="1" applyAlignment="1">
      <alignment horizontal="left" vertical="center"/>
    </xf>
    <xf numFmtId="0" fontId="3" fillId="3" borderId="0" xfId="0" applyFont="1" applyFill="1" applyBorder="1" applyAlignment="1">
      <alignment horizontal="left" vertical="center"/>
    </xf>
    <xf numFmtId="0" fontId="2" fillId="0" borderId="11" xfId="0" applyFont="1" applyFill="1" applyBorder="1" applyAlignment="1">
      <alignment horizontal="center"/>
    </xf>
    <xf numFmtId="0" fontId="2" fillId="0" borderId="0" xfId="0" applyFont="1" applyFill="1" applyBorder="1" applyAlignment="1">
      <alignment horizontal="center"/>
    </xf>
    <xf numFmtId="0" fontId="8" fillId="7" borderId="0" xfId="0" applyFont="1" applyFill="1" applyAlignment="1">
      <alignment horizontal="center" vertical="center" wrapText="1"/>
    </xf>
    <xf numFmtId="0" fontId="8" fillId="7" borderId="0" xfId="0" applyFont="1" applyFill="1" applyAlignment="1">
      <alignment horizontal="center" vertical="center"/>
    </xf>
    <xf numFmtId="0" fontId="9" fillId="3" borderId="0" xfId="0" applyFont="1" applyFill="1" applyAlignment="1">
      <alignment horizontal="center" vertical="center" wrapText="1"/>
    </xf>
    <xf numFmtId="0" fontId="0" fillId="6" borderId="0" xfId="0" applyFill="1" applyAlignment="1">
      <alignment horizontal="center"/>
    </xf>
    <xf numFmtId="0" fontId="6" fillId="5" borderId="0" xfId="0" applyFont="1" applyFill="1" applyAlignment="1">
      <alignment horizontal="center" vertical="center"/>
    </xf>
    <xf numFmtId="0" fontId="7" fillId="3" borderId="0" xfId="0" applyFont="1" applyFill="1" applyAlignment="1">
      <alignment horizontal="center" vertical="center"/>
    </xf>
    <xf numFmtId="8" fontId="7" fillId="3" borderId="0" xfId="0" applyNumberFormat="1" applyFont="1" applyFill="1" applyAlignment="1">
      <alignment horizontal="center" vertical="center"/>
    </xf>
  </cellXfs>
  <cellStyles count="1">
    <cellStyle name="Normal" xfId="0" builtinId="0"/>
  </cellStyles>
  <dxfs count="44">
    <dxf>
      <fill>
        <patternFill patternType="solid">
          <bgColor rgb="FF00B0F0"/>
        </patternFill>
      </fill>
    </dxf>
    <dxf>
      <fill>
        <patternFill patternType="solid">
          <bgColor rgb="FF92D050"/>
        </patternFill>
      </fill>
    </dxf>
    <dxf>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indexed="65"/>
        </patternFill>
      </fill>
      <border diagonalUp="0" diagonalDown="0">
        <left style="thin">
          <color indexed="64"/>
        </left>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border diagonalUp="0" diagonalDown="0">
        <left style="thin">
          <color indexed="64"/>
        </left>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numFmt numFmtId="20" formatCode="d\-mmm\-yy"/>
      <fill>
        <patternFill patternType="none">
          <fgColor indexed="64"/>
          <bgColor indexed="65"/>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border diagonalUp="0" diagonalDown="0">
        <left style="thin">
          <color indexed="64"/>
        </left>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0" formatCode="d\-mmm\-yy"/>
      <fill>
        <patternFill patternType="none">
          <fgColor indexed="64"/>
          <bgColor indexed="65"/>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[file.xlsm]Pivot Table!PivotTable6</c:name>
    <c:fmtId val="3"/>
  </c:pivotSource>
  <c:chart>
    <c:autoTitleDeleted val="1"/>
    <c:pivotFmts>
      <c:pivotFmt>
        <c:idx val="0"/>
        <c:marker>
          <c:symbol val="none"/>
        </c:marker>
      </c:pivotFmt>
      <c:pivotFmt>
        <c:idx val="1"/>
        <c:marker>
          <c:symbol val="none"/>
        </c:marker>
      </c:pivotFmt>
      <c:pivotFmt>
        <c:idx val="2"/>
        <c:marker>
          <c:symbol val="none"/>
        </c:marker>
      </c:pivotFmt>
    </c:pivotFmts>
    <c:plotArea>
      <c:layout/>
      <c:barChart>
        <c:barDir val="col"/>
        <c:grouping val="stacked"/>
        <c:varyColors val="0"/>
        <c:ser>
          <c:idx val="0"/>
          <c:order val="0"/>
          <c:tx>
            <c:strRef>
              <c:f>'Pivot Table'!$B$9</c:f>
              <c:strCache>
                <c:ptCount val="1"/>
                <c:pt idx="0">
                  <c:v>Total</c:v>
                </c:pt>
              </c:strCache>
            </c:strRef>
          </c:tx>
          <c:invertIfNegative val="0"/>
          <c:cat>
            <c:strRef>
              <c:f>'Pivot Table'!$A$10:$A$13</c:f>
              <c:strCache>
                <c:ptCount val="3"/>
                <c:pt idx="0">
                  <c:v>abc</c:v>
                </c:pt>
                <c:pt idx="1">
                  <c:v>ccc</c:v>
                </c:pt>
                <c:pt idx="2">
                  <c:v>xyz</c:v>
                </c:pt>
              </c:strCache>
            </c:strRef>
          </c:cat>
          <c:val>
            <c:numRef>
              <c:f>'Pivot Table'!$B$10:$B$13</c:f>
              <c:numCache>
                <c:formatCode>General</c:formatCode>
                <c:ptCount val="3"/>
                <c:pt idx="0">
                  <c:v>12</c:v>
                </c:pt>
                <c:pt idx="1">
                  <c:v>22</c:v>
                </c:pt>
                <c:pt idx="2">
                  <c:v>17</c:v>
                </c:pt>
              </c:numCache>
            </c:numRef>
          </c:val>
        </c:ser>
        <c:dLbls>
          <c:showLegendKey val="0"/>
          <c:showVal val="0"/>
          <c:showCatName val="0"/>
          <c:showSerName val="0"/>
          <c:showPercent val="0"/>
          <c:showBubbleSize val="0"/>
        </c:dLbls>
        <c:gapWidth val="150"/>
        <c:overlap val="100"/>
        <c:axId val="204792576"/>
        <c:axId val="204794112"/>
      </c:barChart>
      <c:catAx>
        <c:axId val="204792576"/>
        <c:scaling>
          <c:orientation val="minMax"/>
        </c:scaling>
        <c:delete val="0"/>
        <c:axPos val="b"/>
        <c:majorTickMark val="out"/>
        <c:minorTickMark val="none"/>
        <c:tickLblPos val="nextTo"/>
        <c:crossAx val="204794112"/>
        <c:crosses val="autoZero"/>
        <c:auto val="1"/>
        <c:lblAlgn val="ctr"/>
        <c:lblOffset val="100"/>
        <c:noMultiLvlLbl val="0"/>
      </c:catAx>
      <c:valAx>
        <c:axId val="204794112"/>
        <c:scaling>
          <c:orientation val="minMax"/>
        </c:scaling>
        <c:delete val="0"/>
        <c:axPos val="l"/>
        <c:majorGridlines/>
        <c:numFmt formatCode="General" sourceLinked="1"/>
        <c:majorTickMark val="out"/>
        <c:minorTickMark val="none"/>
        <c:tickLblPos val="nextTo"/>
        <c:crossAx val="2047925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[file.xlsm]Pivot Table!PivotTable1</c:name>
    <c:fmtId val="2"/>
  </c:pivotSource>
  <c:chart>
    <c:title>
      <c:tx>
        <c:rich>
          <a:bodyPr/>
          <a:lstStyle/>
          <a:p>
            <a:pPr>
              <a:defRPr/>
            </a:pPr>
            <a:r>
              <a:rPr lang="en-US"/>
              <a:t>Total Cost</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doughnutChart>
        <c:varyColors val="1"/>
        <c:ser>
          <c:idx val="0"/>
          <c:order val="0"/>
          <c:tx>
            <c:strRef>
              <c:f>'Pivot Table'!$B$3</c:f>
              <c:strCache>
                <c:ptCount val="1"/>
                <c:pt idx="0">
                  <c:v>Total</c:v>
                </c:pt>
              </c:strCache>
            </c:strRef>
          </c:tx>
          <c:cat>
            <c:strRef>
              <c:f>'Pivot Table'!$A$4:$A$6</c:f>
              <c:strCache>
                <c:ptCount val="2"/>
                <c:pt idx="0">
                  <c:v>Nov</c:v>
                </c:pt>
                <c:pt idx="1">
                  <c:v>Dec</c:v>
                </c:pt>
              </c:strCache>
            </c:strRef>
          </c:cat>
          <c:val>
            <c:numRef>
              <c:f>'Pivot Table'!$B$4:$B$6</c:f>
              <c:numCache>
                <c:formatCode>General</c:formatCode>
                <c:ptCount val="2"/>
                <c:pt idx="0">
                  <c:v>430</c:v>
                </c:pt>
                <c:pt idx="1">
                  <c:v>304</c:v>
                </c:pt>
              </c:numCache>
            </c:numRef>
          </c:val>
        </c:ser>
        <c:dLbls>
          <c:showLegendKey val="0"/>
          <c:showVal val="0"/>
          <c:showCatName val="0"/>
          <c:showSerName val="0"/>
          <c:showPercent val="0"/>
          <c:showBubbleSize val="0"/>
          <c:showLeaderLines val="1"/>
        </c:dLbls>
        <c:firstSliceAng val="0"/>
        <c:holeSize val="50"/>
      </c:doughnutChart>
    </c:plotArea>
    <c:legend>
      <c:legendPos val="r"/>
      <c:layout>
        <c:manualLayout>
          <c:xMode val="edge"/>
          <c:yMode val="edge"/>
          <c:x val="0.69715332980147426"/>
          <c:y val="0.36841182290647922"/>
          <c:w val="0.28411388647490554"/>
          <c:h val="0.46582228699535277"/>
        </c:manualLayout>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[file.xlsm]Pivot Table!PivotTable2</c:name>
    <c:fmtId val="3"/>
  </c:pivotSource>
  <c:chart>
    <c:title>
      <c:tx>
        <c:rich>
          <a:bodyPr/>
          <a:lstStyle/>
          <a:p>
            <a:pPr>
              <a:defRPr/>
            </a:pPr>
            <a:r>
              <a:rPr lang="en-US"/>
              <a:t>Total Cost</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manualLayout>
          <c:layoutTarget val="inner"/>
          <c:xMode val="edge"/>
          <c:yMode val="edge"/>
          <c:x val="9.9960629921259841E-2"/>
          <c:y val="0.34877582244640354"/>
          <c:w val="0.75817935258092739"/>
          <c:h val="0.43498429354740648"/>
        </c:manualLayout>
      </c:layout>
      <c:barChart>
        <c:barDir val="col"/>
        <c:grouping val="stacked"/>
        <c:varyColors val="0"/>
        <c:ser>
          <c:idx val="0"/>
          <c:order val="0"/>
          <c:tx>
            <c:strRef>
              <c:f>'Pivot Table'!$E$3</c:f>
              <c:strCache>
                <c:ptCount val="1"/>
                <c:pt idx="0">
                  <c:v>Total</c:v>
                </c:pt>
              </c:strCache>
            </c:strRef>
          </c:tx>
          <c:invertIfNegative val="0"/>
          <c:cat>
            <c:strRef>
              <c:f>'Pivot Table'!$D$4:$D$6</c:f>
              <c:strCache>
                <c:ptCount val="2"/>
                <c:pt idx="0">
                  <c:v>ccc</c:v>
                </c:pt>
                <c:pt idx="1">
                  <c:v>xyz</c:v>
                </c:pt>
              </c:strCache>
            </c:strRef>
          </c:cat>
          <c:val>
            <c:numRef>
              <c:f>'Pivot Table'!$E$4:$E$6</c:f>
              <c:numCache>
                <c:formatCode>General</c:formatCode>
                <c:ptCount val="2"/>
                <c:pt idx="0">
                  <c:v>666</c:v>
                </c:pt>
                <c:pt idx="1">
                  <c:v>68</c:v>
                </c:pt>
              </c:numCache>
            </c:numRef>
          </c:val>
        </c:ser>
        <c:dLbls>
          <c:showLegendKey val="0"/>
          <c:showVal val="0"/>
          <c:showCatName val="0"/>
          <c:showSerName val="0"/>
          <c:showPercent val="0"/>
          <c:showBubbleSize val="0"/>
        </c:dLbls>
        <c:gapWidth val="150"/>
        <c:overlap val="100"/>
        <c:axId val="206272384"/>
        <c:axId val="206273920"/>
      </c:barChart>
      <c:catAx>
        <c:axId val="206272384"/>
        <c:scaling>
          <c:orientation val="minMax"/>
        </c:scaling>
        <c:delete val="0"/>
        <c:axPos val="b"/>
        <c:majorTickMark val="out"/>
        <c:minorTickMark val="none"/>
        <c:tickLblPos val="nextTo"/>
        <c:crossAx val="206273920"/>
        <c:crosses val="autoZero"/>
        <c:auto val="1"/>
        <c:lblAlgn val="ctr"/>
        <c:lblOffset val="100"/>
        <c:noMultiLvlLbl val="0"/>
      </c:catAx>
      <c:valAx>
        <c:axId val="206273920"/>
        <c:scaling>
          <c:orientation val="minMax"/>
        </c:scaling>
        <c:delete val="0"/>
        <c:axPos val="l"/>
        <c:majorGridlines/>
        <c:numFmt formatCode="General" sourceLinked="1"/>
        <c:majorTickMark val="out"/>
        <c:minorTickMark val="none"/>
        <c:tickLblPos val="nextTo"/>
        <c:crossAx val="2062723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28575</xdr:colOff>
      <xdr:row>3</xdr:row>
      <xdr:rowOff>28575</xdr:rowOff>
    </xdr:from>
    <xdr:to>
      <xdr:col>5</xdr:col>
      <xdr:colOff>590550</xdr:colOff>
      <xdr:row>10</xdr:row>
      <xdr:rowOff>142875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571499</xdr:colOff>
      <xdr:row>12</xdr:row>
      <xdr:rowOff>179295</xdr:rowOff>
    </xdr:from>
    <xdr:to>
      <xdr:col>12</xdr:col>
      <xdr:colOff>560293</xdr:colOff>
      <xdr:row>23</xdr:row>
      <xdr:rowOff>11206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560294</xdr:colOff>
      <xdr:row>12</xdr:row>
      <xdr:rowOff>168088</xdr:rowOff>
    </xdr:from>
    <xdr:to>
      <xdr:col>21</xdr:col>
      <xdr:colOff>33618</xdr:colOff>
      <xdr:row>23</xdr:row>
      <xdr:rowOff>67235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526677</xdr:colOff>
      <xdr:row>6</xdr:row>
      <xdr:rowOff>156883</xdr:rowOff>
    </xdr:from>
    <xdr:to>
      <xdr:col>5</xdr:col>
      <xdr:colOff>24653</xdr:colOff>
      <xdr:row>13</xdr:row>
      <xdr:rowOff>89648</xdr:rowOff>
    </xdr:to>
    <mc:AlternateContent xmlns:mc="http://schemas.openxmlformats.org/markup-compatibility/2006" xmlns:a14="http://schemas.microsoft.com/office/drawing/2010/main">
      <mc:Choice Requires="a14">
        <xdr:graphicFrame macro="">
          <xdr:nvGraphicFramePr>
            <xdr:cNvPr id="4" name="Prod_Type 1"/>
            <xdr:cNvGraphicFramePr/>
          </xdr:nvGraphicFramePr>
          <xdr:xfrm>
            <a:off x="0" y="0"/>
            <a:ext cx="0" cy="0"/>
          </xdr:xfrm>
          <a:graphic>
            <a:graphicData uri="http://schemas.microsoft.com/office/drawing/2010/slicer">
              <sle:slicer xmlns:sle="http://schemas.microsoft.com/office/drawing/2010/slicer" name="Prod_Type 1"/>
            </a:graphicData>
          </a:graphic>
        </xdr:graphicFrame>
      </mc:Choice>
      <mc:Fallback xmlns="">
        <xdr:sp macro="" textlink="">
          <xdr:nvSpPr>
            <xdr:cNvPr id="0" name=""/>
            <xdr:cNvSpPr>
              <a:spLocks noTextEdit="1"/>
            </xdr:cNvSpPr>
          </xdr:nvSpPr>
          <xdr:spPr>
            <a:xfrm>
              <a:off x="672353" y="1232648"/>
              <a:ext cx="1828800" cy="1199029"/>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515471</xdr:colOff>
      <xdr:row>14</xdr:row>
      <xdr:rowOff>100852</xdr:rowOff>
    </xdr:from>
    <xdr:to>
      <xdr:col>5</xdr:col>
      <xdr:colOff>13447</xdr:colOff>
      <xdr:row>27</xdr:row>
      <xdr:rowOff>148477</xdr:rowOff>
    </xdr:to>
    <mc:AlternateContent xmlns:mc="http://schemas.openxmlformats.org/markup-compatibility/2006" xmlns:a14="http://schemas.microsoft.com/office/drawing/2010/main">
      <mc:Choice Requires="a14">
        <xdr:graphicFrame macro="">
          <xdr:nvGraphicFramePr>
            <xdr:cNvPr id="5" name="Prod_Name 1"/>
            <xdr:cNvGraphicFramePr/>
          </xdr:nvGraphicFramePr>
          <xdr:xfrm>
            <a:off x="0" y="0"/>
            <a:ext cx="0" cy="0"/>
          </xdr:xfrm>
          <a:graphic>
            <a:graphicData uri="http://schemas.microsoft.com/office/drawing/2010/slicer">
              <sle:slicer xmlns:sle="http://schemas.microsoft.com/office/drawing/2010/slicer" name="Prod_Name 1"/>
            </a:graphicData>
          </a:graphic>
        </xdr:graphicFrame>
      </mc:Choice>
      <mc:Fallback xmlns="">
        <xdr:sp macro="" textlink="">
          <xdr:nvSpPr>
            <xdr:cNvPr id="0" name=""/>
            <xdr:cNvSpPr>
              <a:spLocks noTextEdit="1"/>
            </xdr:cNvSpPr>
          </xdr:nvSpPr>
          <xdr:spPr>
            <a:xfrm>
              <a:off x="661147" y="263338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chetan3427@gmail.com" refreshedDate="45849.291044675927" createdVersion="4" refreshedVersion="4" minRefreshableVersion="3" recordCount="17">
  <cacheSource type="worksheet">
    <worksheetSource ref="B6:K23" sheet="Inventory"/>
  </cacheSource>
  <cacheFields count="10">
    <cacheField name="Date" numFmtId="15">
      <sharedItems containsNonDate="0" containsDate="1" containsString="0" containsBlank="1" minDate="2003-11-12T00:00:00" maxDate="2024-12-03T00:00:00"/>
    </cacheField>
    <cacheField name="Month" numFmtId="0">
      <sharedItems count="3">
        <s v="Nov"/>
        <s v="Dec"/>
        <s v=""/>
      </sharedItems>
    </cacheField>
    <cacheField name="Prod_Name" numFmtId="0">
      <sharedItems containsBlank="1"/>
    </cacheField>
    <cacheField name="Product_ID" numFmtId="0">
      <sharedItems/>
    </cacheField>
    <cacheField name="Prod_Type" numFmtId="0">
      <sharedItems count="3">
        <s v="ccc"/>
        <s v="xyz"/>
        <s v=""/>
      </sharedItems>
    </cacheField>
    <cacheField name="Qty" numFmtId="0">
      <sharedItems containsString="0" containsBlank="1" containsNumber="1" containsInteger="1" minValue="1" maxValue="4" count="5">
        <n v="2"/>
        <n v="3"/>
        <n v="4"/>
        <n v="1"/>
        <m/>
      </sharedItems>
    </cacheField>
    <cacheField name="Unit" numFmtId="0">
      <sharedItems/>
    </cacheField>
    <cacheField name="Unit_Price" numFmtId="0">
      <sharedItems containsMixedTypes="1" containsNumber="1" containsInteger="1" minValue="12" maxValue="56"/>
    </cacheField>
    <cacheField name="Total_Cost" numFmtId="0">
      <sharedItems containsMixedTypes="1" containsNumber="1" containsInteger="1" minValue="12" maxValue="224" count="8">
        <n v="24"/>
        <n v="168"/>
        <n v="136"/>
        <n v="68"/>
        <n v="12"/>
        <n v="102"/>
        <n v="224"/>
        <s v=""/>
      </sharedItems>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chetan3427@gmail.com" refreshedDate="45849.295386458332" createdVersion="4" refreshedVersion="4" minRefreshableVersion="3" recordCount="17">
  <cacheSource type="worksheet">
    <worksheetSource ref="M6:S23" sheet="Inventory"/>
  </cacheSource>
  <cacheFields count="7">
    <cacheField name="Date" numFmtId="15">
      <sharedItems containsNonDate="0" containsDate="1" containsString="0" containsBlank="1" minDate="2003-10-11T00:00:00" maxDate="2003-10-12T00:00:00"/>
    </cacheField>
    <cacheField name="Prod_Name" numFmtId="0">
      <sharedItems containsBlank="1"/>
    </cacheField>
    <cacheField name="Product_ID" numFmtId="0">
      <sharedItems/>
    </cacheField>
    <cacheField name="Prod_Type" numFmtId="0">
      <sharedItems/>
    </cacheField>
    <cacheField name="Qty" numFmtId="0">
      <sharedItems containsString="0" containsBlank="1" containsNumber="1" containsInteger="1" minValue="1" maxValue="4" count="4">
        <n v="4"/>
        <n v="1"/>
        <n v="2"/>
        <m/>
      </sharedItems>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chetan3427@gmail.com" refreshedDate="45849.29838576389" createdVersion="4" refreshedVersion="4" minRefreshableVersion="3" recordCount="17">
  <cacheSource type="worksheet">
    <worksheetSource ref="U6:AD23" sheet="Inventory"/>
  </cacheSource>
  <cacheFields count="10">
    <cacheField name="Opening Balance" numFmtId="0">
      <sharedItems containsString="0" containsBlank="1" containsNumber="1" containsInteger="1" minValue="0" maxValue="5"/>
    </cacheField>
    <cacheField name="Prod_Name" numFmtId="0">
      <sharedItems containsBlank="1" count="15">
        <s v="Suagar"/>
        <s v="Soap"/>
        <s v="Pencil"/>
        <s v="Spoon"/>
        <s v="Salt"/>
        <s v="Glass"/>
        <s v="Duster"/>
        <s v="Board"/>
        <s v="Pan"/>
        <s v="Paper"/>
        <s v="Box"/>
        <s v="Mobile"/>
        <s v="Tea"/>
        <s v="Milk"/>
        <m/>
      </sharedItems>
    </cacheField>
    <cacheField name="Product_ID" numFmtId="0">
      <sharedItems containsBlank="1" count="15">
        <s v="DM01"/>
        <s v="DM02"/>
        <s v="DM03"/>
        <s v="DM04"/>
        <s v="DM05"/>
        <s v="DM06"/>
        <s v="DM07"/>
        <s v="DM08"/>
        <s v="DM09"/>
        <s v="DM10"/>
        <s v="DM11"/>
        <s v="DM12"/>
        <s v="DM13"/>
        <s v="DM14"/>
        <m/>
      </sharedItems>
    </cacheField>
    <cacheField name="Prod_Type" numFmtId="0">
      <sharedItems containsBlank="1" count="4">
        <s v="abc"/>
        <s v="xyz"/>
        <s v="ccc"/>
        <m/>
      </sharedItems>
    </cacheField>
    <cacheField name="Qty" numFmtId="0">
      <sharedItems containsSemiMixedTypes="0" containsString="0" containsNumber="1" containsInteger="1" minValue="0" maxValue="8" count="8">
        <n v="0"/>
        <n v="2"/>
        <n v="3"/>
        <n v="4"/>
        <n v="5"/>
        <n v="1"/>
        <n v="6"/>
        <n v="8"/>
      </sharedItems>
    </cacheField>
    <cacheField name="Unit" numFmtId="0">
      <sharedItems containsBlank="1" count="5">
        <s v="g"/>
        <s v="kg"/>
        <s v="ml"/>
        <s v="lt"/>
        <m/>
      </sharedItems>
    </cacheField>
    <cacheField name="Min Bal Required" numFmtId="0">
      <sharedItems containsString="0" containsBlank="1" containsNumber="1" containsInteger="1" minValue="1" maxValue="7" count="7">
        <n v="2"/>
        <n v="1"/>
        <n v="3"/>
        <n v="4"/>
        <n v="6"/>
        <n v="7"/>
        <m/>
      </sharedItems>
    </cacheField>
    <cacheField name="Suggestion" numFmtId="0">
      <sharedItems count="2">
        <s v="Place Order"/>
        <s v=""/>
      </sharedItems>
    </cacheField>
    <cacheField name="Unit_Price" numFmtId="0">
      <sharedItems containsString="0" containsBlank="1" containsNumber="1" containsInteger="1" minValue="12" maxValue="67" count="7">
        <n v="56"/>
        <n v="12"/>
        <n v="23"/>
        <n v="45"/>
        <n v="67"/>
        <n v="34"/>
        <m/>
      </sharedItems>
    </cacheField>
    <cacheField name="Remarks" numFmtId="0">
      <sharedItems containsNonDate="0" containsString="0" containsBlank="1" count="1">
        <m/>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7">
  <r>
    <d v="2003-11-12T00:00:00"/>
    <x v="0"/>
    <s v="Box"/>
    <s v="DM11"/>
    <x v="0"/>
    <x v="0"/>
    <s v="lt"/>
    <n v="12"/>
    <x v="0"/>
    <m/>
  </r>
  <r>
    <d v="2024-12-02T00:00:00"/>
    <x v="1"/>
    <s v="Tea"/>
    <s v="DM13"/>
    <x v="0"/>
    <x v="1"/>
    <s v="kg"/>
    <n v="56"/>
    <x v="1"/>
    <m/>
  </r>
  <r>
    <d v="2023-12-03T00:00:00"/>
    <x v="1"/>
    <s v="Mobile"/>
    <s v="DM12"/>
    <x v="0"/>
    <x v="2"/>
    <s v="g"/>
    <n v="34"/>
    <x v="2"/>
    <s v="`"/>
  </r>
  <r>
    <d v="2003-11-12T00:00:00"/>
    <x v="0"/>
    <s v="Duster"/>
    <s v="DM07"/>
    <x v="1"/>
    <x v="0"/>
    <s v="ml"/>
    <n v="34"/>
    <x v="3"/>
    <m/>
  </r>
  <r>
    <d v="2003-11-12T00:00:00"/>
    <x v="0"/>
    <s v="Box"/>
    <s v="DM11"/>
    <x v="0"/>
    <x v="3"/>
    <s v="lt"/>
    <n v="12"/>
    <x v="4"/>
    <m/>
  </r>
  <r>
    <d v="2003-11-12T00:00:00"/>
    <x v="0"/>
    <s v="Mobile"/>
    <s v="DM12"/>
    <x v="0"/>
    <x v="1"/>
    <s v="g"/>
    <n v="34"/>
    <x v="5"/>
    <m/>
  </r>
  <r>
    <d v="2003-11-12T00:00:00"/>
    <x v="0"/>
    <s v="Tea"/>
    <s v="DM13"/>
    <x v="0"/>
    <x v="2"/>
    <s v="kg"/>
    <n v="56"/>
    <x v="6"/>
    <m/>
  </r>
  <r>
    <m/>
    <x v="2"/>
    <m/>
    <s v=""/>
    <x v="2"/>
    <x v="4"/>
    <s v=""/>
    <s v=""/>
    <x v="7"/>
    <m/>
  </r>
  <r>
    <m/>
    <x v="2"/>
    <m/>
    <s v=""/>
    <x v="2"/>
    <x v="4"/>
    <s v=""/>
    <s v=""/>
    <x v="7"/>
    <m/>
  </r>
  <r>
    <m/>
    <x v="2"/>
    <m/>
    <s v=""/>
    <x v="2"/>
    <x v="4"/>
    <s v=""/>
    <s v=""/>
    <x v="7"/>
    <m/>
  </r>
  <r>
    <m/>
    <x v="2"/>
    <m/>
    <s v=""/>
    <x v="2"/>
    <x v="4"/>
    <s v=""/>
    <s v=""/>
    <x v="7"/>
    <m/>
  </r>
  <r>
    <m/>
    <x v="2"/>
    <m/>
    <s v=""/>
    <x v="2"/>
    <x v="4"/>
    <s v=""/>
    <s v=""/>
    <x v="7"/>
    <m/>
  </r>
  <r>
    <m/>
    <x v="2"/>
    <m/>
    <s v=""/>
    <x v="2"/>
    <x v="4"/>
    <s v=""/>
    <s v=""/>
    <x v="7"/>
    <m/>
  </r>
  <r>
    <m/>
    <x v="2"/>
    <m/>
    <s v=""/>
    <x v="2"/>
    <x v="4"/>
    <s v=""/>
    <s v=""/>
    <x v="7"/>
    <m/>
  </r>
  <r>
    <m/>
    <x v="2"/>
    <m/>
    <s v=""/>
    <x v="2"/>
    <x v="4"/>
    <s v=""/>
    <s v=""/>
    <x v="7"/>
    <m/>
  </r>
  <r>
    <m/>
    <x v="2"/>
    <m/>
    <s v=""/>
    <x v="2"/>
    <x v="4"/>
    <s v=""/>
    <s v=""/>
    <x v="7"/>
    <m/>
  </r>
  <r>
    <m/>
    <x v="2"/>
    <m/>
    <s v=""/>
    <x v="2"/>
    <x v="4"/>
    <s v=""/>
    <s v=""/>
    <x v="7"/>
    <m/>
  </r>
</pivotCacheRecords>
</file>

<file path=xl/pivotCache/pivotCacheRecords2.xml><?xml version="1.0" encoding="utf-8"?>
<pivotCacheRecords xmlns="http://schemas.openxmlformats.org/spreadsheetml/2006/main" xmlns:r="http://schemas.openxmlformats.org/officeDocument/2006/relationships" count="17">
  <r>
    <d v="2003-10-11T00:00:00"/>
    <s v="Mobile"/>
    <s v="DM12"/>
    <s v="ccc"/>
    <x v="0"/>
    <s v="g"/>
    <m/>
  </r>
  <r>
    <d v="2003-10-11T00:00:00"/>
    <s v="Box"/>
    <s v="DM11"/>
    <s v="ccc"/>
    <x v="1"/>
    <s v="lt"/>
    <m/>
  </r>
  <r>
    <d v="2003-10-11T00:00:00"/>
    <s v="Tea"/>
    <s v="DM13"/>
    <s v="ccc"/>
    <x v="2"/>
    <s v="kg"/>
    <m/>
  </r>
  <r>
    <m/>
    <m/>
    <s v=""/>
    <s v=""/>
    <x v="3"/>
    <s v=""/>
    <m/>
  </r>
  <r>
    <m/>
    <m/>
    <s v=""/>
    <s v=""/>
    <x v="3"/>
    <s v=""/>
    <m/>
  </r>
  <r>
    <m/>
    <m/>
    <s v=""/>
    <s v=""/>
    <x v="3"/>
    <s v=""/>
    <m/>
  </r>
  <r>
    <m/>
    <m/>
    <s v=""/>
    <s v=""/>
    <x v="3"/>
    <s v=""/>
    <m/>
  </r>
  <r>
    <m/>
    <m/>
    <s v=""/>
    <s v=""/>
    <x v="3"/>
    <s v=""/>
    <m/>
  </r>
  <r>
    <m/>
    <m/>
    <s v=""/>
    <s v=""/>
    <x v="3"/>
    <s v=""/>
    <m/>
  </r>
  <r>
    <m/>
    <m/>
    <s v=""/>
    <s v=""/>
    <x v="3"/>
    <s v=""/>
    <m/>
  </r>
  <r>
    <m/>
    <m/>
    <s v=""/>
    <s v=""/>
    <x v="3"/>
    <s v=""/>
    <m/>
  </r>
  <r>
    <m/>
    <m/>
    <s v=""/>
    <s v=""/>
    <x v="3"/>
    <s v=""/>
    <m/>
  </r>
  <r>
    <m/>
    <m/>
    <s v=""/>
    <s v=""/>
    <x v="3"/>
    <s v=""/>
    <m/>
  </r>
  <r>
    <m/>
    <m/>
    <s v=""/>
    <s v=""/>
    <x v="3"/>
    <s v=""/>
    <m/>
  </r>
  <r>
    <m/>
    <m/>
    <s v=""/>
    <s v=""/>
    <x v="3"/>
    <s v=""/>
    <m/>
  </r>
  <r>
    <m/>
    <m/>
    <s v=""/>
    <s v=""/>
    <x v="3"/>
    <s v=""/>
    <m/>
  </r>
  <r>
    <m/>
    <m/>
    <s v=""/>
    <s v=""/>
    <x v="3"/>
    <s v=""/>
    <m/>
  </r>
</pivotCacheRecords>
</file>

<file path=xl/pivotCache/pivotCacheRecords3.xml><?xml version="1.0" encoding="utf-8"?>
<pivotCacheRecords xmlns="http://schemas.openxmlformats.org/spreadsheetml/2006/main" xmlns:r="http://schemas.openxmlformats.org/officeDocument/2006/relationships" count="17">
  <r>
    <n v="0"/>
    <x v="0"/>
    <x v="0"/>
    <x v="0"/>
    <x v="0"/>
    <x v="0"/>
    <x v="0"/>
    <x v="0"/>
    <x v="0"/>
    <x v="0"/>
  </r>
  <r>
    <n v="2"/>
    <x v="1"/>
    <x v="1"/>
    <x v="1"/>
    <x v="1"/>
    <x v="1"/>
    <x v="1"/>
    <x v="1"/>
    <x v="1"/>
    <x v="0"/>
  </r>
  <r>
    <n v="3"/>
    <x v="2"/>
    <x v="2"/>
    <x v="0"/>
    <x v="2"/>
    <x v="0"/>
    <x v="0"/>
    <x v="1"/>
    <x v="2"/>
    <x v="0"/>
  </r>
  <r>
    <n v="2"/>
    <x v="3"/>
    <x v="3"/>
    <x v="0"/>
    <x v="1"/>
    <x v="2"/>
    <x v="2"/>
    <x v="0"/>
    <x v="3"/>
    <x v="0"/>
  </r>
  <r>
    <n v="4"/>
    <x v="4"/>
    <x v="4"/>
    <x v="0"/>
    <x v="3"/>
    <x v="3"/>
    <x v="3"/>
    <x v="0"/>
    <x v="4"/>
    <x v="0"/>
  </r>
  <r>
    <n v="5"/>
    <x v="5"/>
    <x v="5"/>
    <x v="1"/>
    <x v="4"/>
    <x v="0"/>
    <x v="2"/>
    <x v="1"/>
    <x v="2"/>
    <x v="0"/>
  </r>
  <r>
    <n v="2"/>
    <x v="6"/>
    <x v="6"/>
    <x v="1"/>
    <x v="3"/>
    <x v="2"/>
    <x v="0"/>
    <x v="1"/>
    <x v="5"/>
    <x v="0"/>
  </r>
  <r>
    <n v="1"/>
    <x v="7"/>
    <x v="7"/>
    <x v="0"/>
    <x v="5"/>
    <x v="0"/>
    <x v="0"/>
    <x v="0"/>
    <x v="0"/>
    <x v="0"/>
  </r>
  <r>
    <n v="4"/>
    <x v="8"/>
    <x v="8"/>
    <x v="1"/>
    <x v="3"/>
    <x v="2"/>
    <x v="0"/>
    <x v="1"/>
    <x v="2"/>
    <x v="0"/>
  </r>
  <r>
    <n v="2"/>
    <x v="9"/>
    <x v="9"/>
    <x v="1"/>
    <x v="1"/>
    <x v="3"/>
    <x v="0"/>
    <x v="0"/>
    <x v="1"/>
    <x v="0"/>
  </r>
  <r>
    <n v="4"/>
    <x v="10"/>
    <x v="10"/>
    <x v="2"/>
    <x v="6"/>
    <x v="3"/>
    <x v="3"/>
    <x v="1"/>
    <x v="1"/>
    <x v="0"/>
  </r>
  <r>
    <n v="5"/>
    <x v="11"/>
    <x v="11"/>
    <x v="2"/>
    <x v="7"/>
    <x v="0"/>
    <x v="4"/>
    <x v="1"/>
    <x v="5"/>
    <x v="0"/>
  </r>
  <r>
    <n v="3"/>
    <x v="12"/>
    <x v="12"/>
    <x v="2"/>
    <x v="7"/>
    <x v="1"/>
    <x v="5"/>
    <x v="1"/>
    <x v="0"/>
    <x v="0"/>
  </r>
  <r>
    <n v="2"/>
    <x v="13"/>
    <x v="13"/>
    <x v="0"/>
    <x v="1"/>
    <x v="1"/>
    <x v="3"/>
    <x v="0"/>
    <x v="4"/>
    <x v="0"/>
  </r>
  <r>
    <m/>
    <x v="14"/>
    <x v="14"/>
    <x v="3"/>
    <x v="0"/>
    <x v="4"/>
    <x v="6"/>
    <x v="1"/>
    <x v="6"/>
    <x v="0"/>
  </r>
  <r>
    <m/>
    <x v="14"/>
    <x v="14"/>
    <x v="3"/>
    <x v="0"/>
    <x v="4"/>
    <x v="6"/>
    <x v="1"/>
    <x v="6"/>
    <x v="0"/>
  </r>
  <r>
    <m/>
    <x v="14"/>
    <x v="14"/>
    <x v="3"/>
    <x v="0"/>
    <x v="4"/>
    <x v="6"/>
    <x v="1"/>
    <x v="6"/>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17:A18" firstHeaderRow="1" firstDataRow="1" firstDataCol="0"/>
  <pivotFields count="10">
    <pivotField showAll="0"/>
    <pivotField showAll="0"/>
    <pivotField showAll="0"/>
    <pivotField showAll="0">
      <items count="5">
        <item x="0"/>
        <item x="2"/>
        <item x="1"/>
        <item x="3"/>
        <item t="default"/>
      </items>
    </pivotField>
    <pivotField dataField="1" showAll="0"/>
    <pivotField showAll="0"/>
    <pivotField showAll="0"/>
    <pivotField showAll="0"/>
    <pivotField showAll="0"/>
    <pivotField showAll="0"/>
  </pivotFields>
  <rowItems count="1">
    <i/>
  </rowItems>
  <colItems count="1">
    <i/>
  </colItems>
  <dataFields count="1">
    <dataField name="Sum of Qty" fld="4" baseField="0" baseItem="0"/>
  </dataFields>
  <formats count="1">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D9:E25" firstHeaderRow="1" firstDataRow="1" firstDataCol="1"/>
  <pivotFields count="10">
    <pivotField showAll="0"/>
    <pivotField axis="axisRow" showAll="0">
      <items count="16">
        <item x="7"/>
        <item x="10"/>
        <item x="6"/>
        <item x="5"/>
        <item x="13"/>
        <item x="11"/>
        <item x="8"/>
        <item x="9"/>
        <item x="2"/>
        <item x="4"/>
        <item x="1"/>
        <item x="3"/>
        <item x="0"/>
        <item x="12"/>
        <item x="14"/>
        <item t="default"/>
      </items>
    </pivotField>
    <pivotField showAll="0"/>
    <pivotField showAll="0">
      <items count="5">
        <item x="0"/>
        <item x="2"/>
        <item x="1"/>
        <item x="3"/>
        <item t="default"/>
      </items>
    </pivotField>
    <pivotField dataField="1" showAll="0"/>
    <pivotField showAll="0"/>
    <pivotField showAll="0"/>
    <pivotField showAll="0"/>
    <pivotField showAll="0"/>
    <pivotField showAll="0"/>
  </pivotFields>
  <rowFields count="1">
    <field x="1"/>
  </rowFields>
  <rowItems count="16">
    <i>
      <x/>
    </i>
    <i>
      <x v="1"/>
    </i>
    <i>
      <x v="2"/>
    </i>
    <i>
      <x v="3"/>
    </i>
    <i>
      <x v="4"/>
    </i>
    <i>
      <x v="5"/>
    </i>
    <i>
      <x v="6"/>
    </i>
    <i>
      <x v="7"/>
    </i>
    <i>
      <x v="8"/>
    </i>
    <i>
      <x v="9"/>
    </i>
    <i>
      <x v="10"/>
    </i>
    <i>
      <x v="11"/>
    </i>
    <i>
      <x v="12"/>
    </i>
    <i>
      <x v="13"/>
    </i>
    <i>
      <x v="14"/>
    </i>
    <i t="grand">
      <x/>
    </i>
  </rowItems>
  <colItems count="1">
    <i/>
  </colItems>
  <dataFields count="1">
    <dataField name="Sum of Qt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D3:E6" firstHeaderRow="1" firstDataRow="1" firstDataCol="1"/>
  <pivotFields count="10">
    <pivotField showAll="0"/>
    <pivotField showAll="0">
      <items count="4">
        <item x="0"/>
        <item x="1"/>
        <item x="2"/>
        <item t="default"/>
      </items>
    </pivotField>
    <pivotField showAll="0"/>
    <pivotField showAll="0"/>
    <pivotField axis="axisRow" showAll="0">
      <items count="4">
        <item h="1" x="2"/>
        <item x="0"/>
        <item x="1"/>
        <item t="default"/>
      </items>
    </pivotField>
    <pivotField showAll="0"/>
    <pivotField showAll="0"/>
    <pivotField showAll="0"/>
    <pivotField dataField="1" showAll="0">
      <items count="9">
        <item x="4"/>
        <item x="0"/>
        <item x="3"/>
        <item x="5"/>
        <item x="2"/>
        <item x="1"/>
        <item x="6"/>
        <item x="7"/>
        <item t="default"/>
      </items>
    </pivotField>
    <pivotField showAll="0"/>
  </pivotFields>
  <rowFields count="1">
    <field x="4"/>
  </rowFields>
  <rowItems count="3">
    <i>
      <x v="1"/>
    </i>
    <i>
      <x v="2"/>
    </i>
    <i t="grand">
      <x/>
    </i>
  </rowItems>
  <colItems count="1">
    <i/>
  </colItems>
  <dataFields count="1">
    <dataField name="Sum of Total_Cost" fld="8"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I3:I4" firstHeaderRow="1" firstDataRow="1" firstDataCol="0"/>
  <pivotFields count="7">
    <pivotField showAll="0"/>
    <pivotField showAll="0"/>
    <pivotField showAll="0"/>
    <pivotField showAll="0"/>
    <pivotField dataField="1" showAll="0">
      <items count="5">
        <item x="1"/>
        <item x="2"/>
        <item x="0"/>
        <item x="3"/>
        <item t="default"/>
      </items>
    </pivotField>
    <pivotField showAll="0"/>
    <pivotField showAll="0"/>
  </pivotFields>
  <rowItems count="1">
    <i/>
  </rowItems>
  <colItems count="1">
    <i/>
  </colItems>
  <dataFields count="1">
    <dataField name="Sum of Qty" fld="4" baseField="0" baseItem="0"/>
  </dataFields>
  <formats count="1">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G6:G7" firstHeaderRow="1" firstDataRow="1" firstDataCol="0"/>
  <pivotFields count="10">
    <pivotField showAll="0"/>
    <pivotField showAll="0">
      <items count="4">
        <item x="0"/>
        <item x="1"/>
        <item h="1" x="2"/>
        <item t="default"/>
      </items>
    </pivotField>
    <pivotField showAll="0"/>
    <pivotField showAll="0"/>
    <pivotField showAll="0"/>
    <pivotField dataField="1" showAll="0">
      <items count="6">
        <item x="3"/>
        <item x="0"/>
        <item x="1"/>
        <item x="2"/>
        <item x="4"/>
        <item t="default"/>
      </items>
    </pivotField>
    <pivotField showAll="0"/>
    <pivotField showAll="0"/>
    <pivotField showAll="0">
      <items count="9">
        <item x="4"/>
        <item x="0"/>
        <item x="3"/>
        <item x="5"/>
        <item x="2"/>
        <item x="1"/>
        <item x="6"/>
        <item x="7"/>
        <item t="default"/>
      </items>
    </pivotField>
    <pivotField showAll="0"/>
  </pivotFields>
  <rowItems count="1">
    <i/>
  </rowItems>
  <colItems count="1">
    <i/>
  </colItems>
  <dataFields count="1">
    <dataField name="Sum of Qty"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9:B13" firstHeaderRow="1" firstDataRow="1" firstDataCol="1"/>
  <pivotFields count="10">
    <pivotField showAll="0"/>
    <pivotField showAll="0"/>
    <pivotField showAll="0"/>
    <pivotField axis="axisRow" showAll="0">
      <items count="5">
        <item x="0"/>
        <item x="2"/>
        <item x="1"/>
        <item h="1" x="3"/>
        <item t="default"/>
      </items>
    </pivotField>
    <pivotField dataField="1" showAll="0"/>
    <pivotField showAll="0"/>
    <pivotField showAll="0"/>
    <pivotField showAll="0"/>
    <pivotField showAll="0"/>
    <pivotField showAll="0"/>
  </pivotFields>
  <rowFields count="1">
    <field x="3"/>
  </rowFields>
  <rowItems count="4">
    <i>
      <x/>
    </i>
    <i>
      <x v="1"/>
    </i>
    <i>
      <x v="2"/>
    </i>
    <i t="grand">
      <x/>
    </i>
  </rowItems>
  <colItems count="1">
    <i/>
  </colItems>
  <dataFields count="1">
    <dataField name="Sum of Qty" fld="4"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G3:G4" firstHeaderRow="1" firstDataRow="1" firstDataCol="0"/>
  <pivotFields count="10">
    <pivotField showAll="0"/>
    <pivotField showAll="0">
      <items count="4">
        <item x="0"/>
        <item x="1"/>
        <item h="1" x="2"/>
        <item t="default"/>
      </items>
    </pivotField>
    <pivotField showAll="0"/>
    <pivotField showAll="0"/>
    <pivotField showAll="0"/>
    <pivotField showAll="0"/>
    <pivotField showAll="0"/>
    <pivotField showAll="0"/>
    <pivotField dataField="1" showAll="0">
      <items count="9">
        <item x="4"/>
        <item x="0"/>
        <item x="3"/>
        <item x="5"/>
        <item x="2"/>
        <item x="1"/>
        <item x="6"/>
        <item x="7"/>
        <item t="default"/>
      </items>
    </pivotField>
    <pivotField showAll="0"/>
  </pivotFields>
  <rowItems count="1">
    <i/>
  </rowItems>
  <colItems count="1">
    <i/>
  </colItems>
  <dataFields count="1">
    <dataField name="Sum of Total_Cos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6" firstHeaderRow="1" firstDataRow="1" firstDataCol="1"/>
  <pivotFields count="10">
    <pivotField showAll="0"/>
    <pivotField axis="axisRow" showAll="0">
      <items count="4">
        <item x="0"/>
        <item x="1"/>
        <item h="1" x="2"/>
        <item t="default"/>
      </items>
    </pivotField>
    <pivotField showAll="0"/>
    <pivotField showAll="0"/>
    <pivotField showAll="0"/>
    <pivotField showAll="0"/>
    <pivotField showAll="0"/>
    <pivotField showAll="0"/>
    <pivotField dataField="1" showAll="0">
      <items count="9">
        <item x="4"/>
        <item x="0"/>
        <item x="3"/>
        <item x="5"/>
        <item x="2"/>
        <item x="1"/>
        <item x="6"/>
        <item x="7"/>
        <item t="default"/>
      </items>
    </pivotField>
    <pivotField showAll="0"/>
  </pivotFields>
  <rowFields count="1">
    <field x="1"/>
  </rowFields>
  <rowItems count="3">
    <i>
      <x/>
    </i>
    <i>
      <x v="1"/>
    </i>
    <i t="grand">
      <x/>
    </i>
  </rowItems>
  <colItems count="1">
    <i/>
  </colItems>
  <dataFields count="1">
    <dataField name="Sum of Total_Cost" fld="8"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_Name" sourceName="Prod_Name">
  <pivotTables>
    <pivotTable tabId="4" name="PivotTable7"/>
  </pivotTables>
  <data>
    <tabular pivotCacheId="1">
      <items count="15">
        <i x="7" s="1"/>
        <i x="10" s="1"/>
        <i x="6" s="1"/>
        <i x="5" s="1"/>
        <i x="13" s="1"/>
        <i x="11" s="1"/>
        <i x="8" s="1"/>
        <i x="9" s="1"/>
        <i x="2" s="1"/>
        <i x="4" s="1"/>
        <i x="1" s="1"/>
        <i x="3" s="1"/>
        <i x="0" s="1"/>
        <i x="12" s="1"/>
        <i x="1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d_Type" sourceName="Prod_Type">
  <pivotTables>
    <pivotTable tabId="4" name="PivotTable7"/>
  </pivotTables>
  <data>
    <tabular pivotCacheId="1">
      <items count="4">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_Name 1" cache="Slicer_Prod_Name" caption="Prod_Name" rowHeight="241300"/>
  <slicer name="Prod_Type 1" cache="Slicer_Prod_Type" caption="Prod_Type" rowHeight="241300"/>
</slicers>
</file>

<file path=xl/tables/table1.xml><?xml version="1.0" encoding="utf-8"?>
<table xmlns="http://schemas.openxmlformats.org/spreadsheetml/2006/main" id="1" name="Table1" displayName="Table1" ref="B6:K23" totalsRowShown="0" headerRowDxfId="43" dataDxfId="41" headerRowBorderDxfId="42" tableBorderDxfId="40" totalsRowBorderDxfId="39">
  <tableColumns count="10">
    <tableColumn id="1" name="Date" dataDxfId="38"/>
    <tableColumn id="10" name="Month" dataDxfId="37">
      <calculatedColumnFormula>IF(Table1[[#This Row],[Date]]&lt;&gt;"",TEXT(Table1[[#This Row],[Date]],"mmm"),"")</calculatedColumnFormula>
    </tableColumn>
    <tableColumn id="2" name="Prod_Name" dataDxfId="36"/>
    <tableColumn id="3" name="Product_ID" dataDxfId="35">
      <calculatedColumnFormula>IFERROR(VLOOKUP(Table1[[#This Row],[Prod_Name]],Table4[[#All],[Prod_Name]:[Remarks]],2,0),"")</calculatedColumnFormula>
    </tableColumn>
    <tableColumn id="4" name="Prod_Type" dataDxfId="34">
      <calculatedColumnFormula>IFERROR(VLOOKUP(Table1[[#This Row],[Prod_Name]],Table4[[#All],[Prod_Name]:[Remarks]],3,0),"")</calculatedColumnFormula>
    </tableColumn>
    <tableColumn id="5" name="Qty" dataDxfId="33"/>
    <tableColumn id="6" name="Unit" dataDxfId="32">
      <calculatedColumnFormula>IFERROR(VLOOKUP(Table1[[#This Row],[Prod_Name]],Table4[[#All],[Prod_Name]:[Remarks]],5,0),"")</calculatedColumnFormula>
    </tableColumn>
    <tableColumn id="9" name="Unit_Price" dataDxfId="31">
      <calculatedColumnFormula>IFERROR(VLOOKUP(Table1[[#This Row],[Prod_Name]],Table4[[#All],[Prod_Name]:[Remarks]],8,0),"")</calculatedColumnFormula>
    </tableColumn>
    <tableColumn id="8" name="Total_Cost" dataDxfId="30">
      <calculatedColumnFormula>IFERROR(Table1[[#This Row],[Unit_Price]]*Table1[[#This Row],[Qty]],"")</calculatedColumnFormula>
    </tableColumn>
    <tableColumn id="7" name="Remarks" dataDxfId="29"/>
  </tableColumns>
  <tableStyleInfo name="TableStyleMedium4" showFirstColumn="0" showLastColumn="0" showRowStripes="1" showColumnStripes="0"/>
</table>
</file>

<file path=xl/tables/table2.xml><?xml version="1.0" encoding="utf-8"?>
<table xmlns="http://schemas.openxmlformats.org/spreadsheetml/2006/main" id="3" name="Table3" displayName="Table3" ref="M6:S23" totalsRowShown="0" headerRowDxfId="28" dataDxfId="26" headerRowBorderDxfId="27" tableBorderDxfId="25" totalsRowBorderDxfId="24">
  <tableColumns count="7">
    <tableColumn id="1" name="Date" dataDxfId="23"/>
    <tableColumn id="2" name="Prod_Name" dataDxfId="22"/>
    <tableColumn id="3" name="Product_ID" dataDxfId="21">
      <calculatedColumnFormula>IFERROR(VLOOKUP(Table3[[#This Row],[Prod_Name]],Table4[[#All],[Prod_Name]:[Remarks]],2,0),"")</calculatedColumnFormula>
    </tableColumn>
    <tableColumn id="4" name="Prod_Type" dataDxfId="20">
      <calculatedColumnFormula>IFERROR(VLOOKUP(Table3[[#This Row],[Prod_Name]],Table4[[#All],[Prod_Name]:[Remarks]],3,0),"")</calculatedColumnFormula>
    </tableColumn>
    <tableColumn id="5" name="Qty" dataDxfId="19"/>
    <tableColumn id="6" name="Unit" dataDxfId="18">
      <calculatedColumnFormula>IFERROR(VLOOKUP(Table3[[#This Row],[Prod_Name]],Table4[[#All],[Prod_Name]:[Remarks]],5,0),"")</calculatedColumnFormula>
    </tableColumn>
    <tableColumn id="7" name="Remarks" dataDxfId="17"/>
  </tableColumns>
  <tableStyleInfo name="TableStyleMedium4" showFirstColumn="0" showLastColumn="0" showRowStripes="1" showColumnStripes="0"/>
</table>
</file>

<file path=xl/tables/table3.xml><?xml version="1.0" encoding="utf-8"?>
<table xmlns="http://schemas.openxmlformats.org/spreadsheetml/2006/main" id="4" name="Table4" displayName="Table4" ref="U6:AD23" totalsRowShown="0" headerRowDxfId="16" dataDxfId="14" headerRowBorderDxfId="15" tableBorderDxfId="13" totalsRowBorderDxfId="12">
  <tableColumns count="10">
    <tableColumn id="1" name="Opening Balance" dataDxfId="11"/>
    <tableColumn id="2" name="Prod_Name" dataDxfId="10"/>
    <tableColumn id="3" name="Product_ID" dataDxfId="9"/>
    <tableColumn id="4" name="Prod_Type" dataDxfId="8"/>
    <tableColumn id="5" name="Qty" dataDxfId="7">
      <calculatedColumnFormula>Table4[[#This Row],[Opening Balance]]+SUMIFS(Table1[Qty],Table1[Prod_Name],Table4[[#This Row],[Prod_Name]])-SUMIFS(Table3[Qty],Table3[Prod_Name],Table4[[#This Row],[Prod_Name]])</calculatedColumnFormula>
    </tableColumn>
    <tableColumn id="6" name="Unit" dataDxfId="6"/>
    <tableColumn id="9" name="Min Bal Required" dataDxfId="5"/>
    <tableColumn id="8" name="Suggestion" dataDxfId="4">
      <calculatedColumnFormula>IF(Table4[[#This Row],[Min Bal Required]]="","",IF(Table4[[#This Row],[Min Bal Required]]&lt;Table4[[#This Row],[Qty]],"","Place Order"))</calculatedColumnFormula>
    </tableColumn>
    <tableColumn id="10" name="Unit_Price" dataDxfId="3"/>
    <tableColumn id="7" name="Remarks" dataDxfId="2"/>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F10"/>
  <sheetViews>
    <sheetView workbookViewId="0">
      <selection activeCell="G12" sqref="G12"/>
    </sheetView>
  </sheetViews>
  <sheetFormatPr defaultRowHeight="15" x14ac:dyDescent="0.25"/>
  <sheetData>
    <row r="3" spans="2:6" x14ac:dyDescent="0.25">
      <c r="B3" s="25" t="s">
        <v>71</v>
      </c>
      <c r="C3" s="25"/>
      <c r="D3" s="25"/>
      <c r="E3" s="25"/>
      <c r="F3" s="25"/>
    </row>
    <row r="4" spans="2:6" x14ac:dyDescent="0.25">
      <c r="B4" s="26"/>
      <c r="C4" s="26"/>
      <c r="D4" s="26"/>
      <c r="E4" s="26"/>
      <c r="F4" s="26"/>
    </row>
    <row r="5" spans="2:6" x14ac:dyDescent="0.25">
      <c r="B5" s="26"/>
      <c r="C5" s="26"/>
      <c r="D5" s="26"/>
      <c r="E5" s="26"/>
      <c r="F5" s="26"/>
    </row>
    <row r="6" spans="2:6" x14ac:dyDescent="0.25">
      <c r="B6" s="26"/>
      <c r="C6" s="26"/>
      <c r="D6" s="26"/>
      <c r="E6" s="26"/>
      <c r="F6" s="26"/>
    </row>
    <row r="7" spans="2:6" x14ac:dyDescent="0.25">
      <c r="B7" s="26"/>
      <c r="C7" s="26"/>
      <c r="D7" s="26"/>
      <c r="E7" s="26"/>
      <c r="F7" s="26"/>
    </row>
    <row r="8" spans="2:6" x14ac:dyDescent="0.25">
      <c r="B8" s="26"/>
      <c r="C8" s="26"/>
      <c r="D8" s="26"/>
      <c r="E8" s="26"/>
      <c r="F8" s="26"/>
    </row>
    <row r="9" spans="2:6" x14ac:dyDescent="0.25">
      <c r="B9" s="26"/>
      <c r="C9" s="26"/>
      <c r="D9" s="26"/>
      <c r="E9" s="26"/>
      <c r="F9" s="26"/>
    </row>
    <row r="10" spans="2:6" x14ac:dyDescent="0.25">
      <c r="B10" s="26"/>
      <c r="C10" s="26"/>
      <c r="D10" s="26"/>
      <c r="E10" s="26"/>
      <c r="F10" s="26"/>
    </row>
  </sheetData>
  <mergeCells count="2">
    <mergeCell ref="B3:F3"/>
    <mergeCell ref="B4:F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27"/>
  <sheetViews>
    <sheetView zoomScale="80" zoomScaleNormal="80" workbookViewId="0">
      <selection activeCell="E28" sqref="E28"/>
    </sheetView>
  </sheetViews>
  <sheetFormatPr defaultRowHeight="15" x14ac:dyDescent="0.25"/>
  <cols>
    <col min="1" max="1" width="2.7109375" style="1" customWidth="1"/>
    <col min="2" max="2" width="10.5703125" style="1" customWidth="1"/>
    <col min="3" max="3" width="11.5703125" style="1" customWidth="1"/>
    <col min="4" max="4" width="10.85546875" style="1" customWidth="1"/>
    <col min="5" max="5" width="10.5703125" style="1" customWidth="1"/>
    <col min="6" max="6" width="4.42578125" style="1" customWidth="1"/>
    <col min="7" max="7" width="5" style="1" customWidth="1"/>
    <col min="8" max="8" width="5.42578125" style="1" customWidth="1"/>
    <col min="9" max="9" width="10.5703125" style="1" customWidth="1"/>
    <col min="10" max="10" width="9.140625" style="1" customWidth="1"/>
    <col min="11" max="11" width="9.28515625" style="1" customWidth="1"/>
    <col min="12" max="12" width="3.42578125" style="1" customWidth="1"/>
    <col min="13" max="13" width="11.5703125" style="1" customWidth="1"/>
    <col min="14" max="14" width="10.85546875" style="1" customWidth="1"/>
    <col min="15" max="15" width="10.5703125" style="1" customWidth="1"/>
    <col min="16" max="16" width="4.42578125" style="1" customWidth="1"/>
    <col min="17" max="17" width="5" style="1" customWidth="1"/>
    <col min="18" max="19" width="9.140625" style="1" customWidth="1"/>
    <col min="20" max="20" width="3.5703125" style="1" customWidth="1"/>
    <col min="21" max="21" width="16.28515625" style="1" customWidth="1"/>
    <col min="22" max="22" width="10.85546875" style="1" customWidth="1"/>
    <col min="23" max="23" width="10.5703125" style="1" customWidth="1"/>
    <col min="24" max="24" width="4.42578125" style="1" customWidth="1"/>
    <col min="25" max="25" width="5" style="1" customWidth="1"/>
    <col min="26" max="26" width="6.7109375" style="1" customWidth="1"/>
    <col min="27" max="27" width="10.85546875" style="1" bestFit="1" customWidth="1"/>
    <col min="28" max="16384" width="9.140625" style="1"/>
  </cols>
  <sheetData>
    <row r="1" spans="1:30" ht="9" customHeight="1" x14ac:dyDescent="0.25">
      <c r="B1" s="13"/>
    </row>
    <row r="2" spans="1:30" ht="24" customHeight="1" x14ac:dyDescent="0.25">
      <c r="B2" s="30" t="s">
        <v>0</v>
      </c>
      <c r="C2" s="30"/>
      <c r="D2" s="30"/>
      <c r="E2" s="30"/>
      <c r="F2" s="30"/>
      <c r="G2" s="30"/>
      <c r="H2" s="30"/>
      <c r="I2" s="30"/>
      <c r="J2" s="30"/>
      <c r="K2" s="30"/>
      <c r="L2" s="30"/>
      <c r="M2" s="30"/>
      <c r="N2" s="30"/>
      <c r="O2" s="30"/>
      <c r="P2" s="30"/>
      <c r="Q2" s="30"/>
      <c r="R2" s="30"/>
      <c r="S2" s="30"/>
      <c r="T2" s="30"/>
      <c r="U2" s="30"/>
      <c r="V2" s="30"/>
      <c r="W2" s="30"/>
      <c r="X2" s="30"/>
      <c r="Y2" s="30"/>
      <c r="Z2" s="30"/>
      <c r="AA2" s="9"/>
    </row>
    <row r="3" spans="1:30" ht="24" customHeight="1" x14ac:dyDescent="0.25">
      <c r="B3" s="31" t="s">
        <v>1</v>
      </c>
      <c r="C3" s="31"/>
      <c r="D3" s="31"/>
      <c r="E3" s="31"/>
      <c r="F3" s="31"/>
      <c r="G3" s="31"/>
      <c r="H3" s="31"/>
      <c r="I3" s="31"/>
      <c r="J3" s="31"/>
      <c r="K3" s="31"/>
      <c r="L3" s="31"/>
      <c r="M3" s="31"/>
      <c r="N3" s="31"/>
      <c r="O3" s="31"/>
      <c r="P3" s="31"/>
      <c r="Q3" s="31"/>
      <c r="R3" s="31"/>
      <c r="S3" s="31"/>
      <c r="T3" s="31"/>
      <c r="U3" s="31"/>
      <c r="V3" s="31"/>
      <c r="W3" s="31"/>
      <c r="X3" s="31"/>
      <c r="Y3" s="31"/>
      <c r="Z3" s="31"/>
    </row>
    <row r="4" spans="1:30" ht="6.75" customHeight="1" x14ac:dyDescent="0.25"/>
    <row r="5" spans="1:30" ht="21" x14ac:dyDescent="0.35">
      <c r="B5" s="32" t="s">
        <v>9</v>
      </c>
      <c r="C5" s="33"/>
      <c r="D5" s="33"/>
      <c r="E5" s="33"/>
      <c r="F5" s="33"/>
      <c r="G5" s="33"/>
      <c r="H5" s="33"/>
      <c r="I5" s="33"/>
      <c r="J5" s="33"/>
      <c r="K5" s="33"/>
      <c r="M5" s="27" t="s">
        <v>10</v>
      </c>
      <c r="N5" s="28"/>
      <c r="O5" s="28"/>
      <c r="P5" s="28"/>
      <c r="Q5" s="28"/>
      <c r="R5" s="28"/>
      <c r="S5" s="29"/>
      <c r="U5" s="32" t="s">
        <v>11</v>
      </c>
      <c r="V5" s="33"/>
      <c r="W5" s="33"/>
      <c r="X5" s="33"/>
      <c r="Y5" s="33"/>
      <c r="Z5" s="33"/>
      <c r="AA5" s="33"/>
      <c r="AB5" s="33"/>
      <c r="AC5" s="33"/>
      <c r="AD5" s="33"/>
    </row>
    <row r="6" spans="1:30" s="9" customFormat="1" ht="18.75" customHeight="1" x14ac:dyDescent="0.25">
      <c r="B6" s="10" t="s">
        <v>2</v>
      </c>
      <c r="C6" s="10" t="s">
        <v>64</v>
      </c>
      <c r="D6" s="11" t="s">
        <v>6</v>
      </c>
      <c r="E6" s="11" t="s">
        <v>7</v>
      </c>
      <c r="F6" s="11" t="s">
        <v>8</v>
      </c>
      <c r="G6" s="11" t="s">
        <v>3</v>
      </c>
      <c r="H6" s="11" t="s">
        <v>4</v>
      </c>
      <c r="I6" s="12" t="s">
        <v>62</v>
      </c>
      <c r="J6" s="12" t="s">
        <v>63</v>
      </c>
      <c r="K6" s="12" t="s">
        <v>5</v>
      </c>
      <c r="M6" s="10" t="s">
        <v>2</v>
      </c>
      <c r="N6" s="11" t="s">
        <v>6</v>
      </c>
      <c r="O6" s="11" t="s">
        <v>7</v>
      </c>
      <c r="P6" s="11" t="s">
        <v>8</v>
      </c>
      <c r="Q6" s="11" t="s">
        <v>3</v>
      </c>
      <c r="R6" s="11" t="s">
        <v>4</v>
      </c>
      <c r="S6" s="12" t="s">
        <v>5</v>
      </c>
      <c r="U6" s="10" t="s">
        <v>35</v>
      </c>
      <c r="V6" s="11" t="s">
        <v>6</v>
      </c>
      <c r="W6" s="11" t="s">
        <v>7</v>
      </c>
      <c r="X6" s="11" t="s">
        <v>8</v>
      </c>
      <c r="Y6" s="11" t="s">
        <v>3</v>
      </c>
      <c r="Z6" s="11" t="s">
        <v>4</v>
      </c>
      <c r="AA6" s="12" t="s">
        <v>51</v>
      </c>
      <c r="AB6" s="12" t="s">
        <v>52</v>
      </c>
      <c r="AC6" s="12" t="s">
        <v>62</v>
      </c>
      <c r="AD6" s="12" t="s">
        <v>5</v>
      </c>
    </row>
    <row r="7" spans="1:30" x14ac:dyDescent="0.25">
      <c r="B7" s="16">
        <v>37937</v>
      </c>
      <c r="C7" s="19" t="str">
        <f>IF(Table1[[#This Row],[Date]]&lt;&gt;"",TEXT(Table1[[#This Row],[Date]],"mmm"),"")</f>
        <v>Nov</v>
      </c>
      <c r="D7" s="2" t="s">
        <v>46</v>
      </c>
      <c r="E7" s="2" t="str">
        <f>IFERROR(VLOOKUP(Table1[[#This Row],[Prod_Name]],Table4[[#All],[Prod_Name]:[Remarks]],2,0),"")</f>
        <v>DM11</v>
      </c>
      <c r="F7" s="2" t="str">
        <f>IFERROR(VLOOKUP(Table1[[#This Row],[Prod_Name]],Table4[[#All],[Prod_Name]:[Remarks]],3,0),"")</f>
        <v>ccc</v>
      </c>
      <c r="G7" s="2">
        <v>2</v>
      </c>
      <c r="H7" s="2" t="str">
        <f>IFERROR(VLOOKUP(Table1[[#This Row],[Prod_Name]],Table4[[#All],[Prod_Name]:[Remarks]],5,0),"")</f>
        <v>lt</v>
      </c>
      <c r="I7" s="5">
        <f>IFERROR(VLOOKUP(Table1[[#This Row],[Prod_Name]],Table4[[#All],[Prod_Name]:[Remarks]],8,0),"")</f>
        <v>12</v>
      </c>
      <c r="J7" s="5">
        <f>IFERROR(Table1[[#This Row],[Unit_Price]]*Table1[[#This Row],[Qty]],"")</f>
        <v>24</v>
      </c>
      <c r="K7" s="5"/>
      <c r="M7" s="16">
        <v>37905</v>
      </c>
      <c r="N7" s="2" t="s">
        <v>47</v>
      </c>
      <c r="O7" s="2" t="str">
        <f>IFERROR(VLOOKUP(Table3[[#This Row],[Prod_Name]],Table4[[#All],[Prod_Name]:[Remarks]],2,0),"")</f>
        <v>DM12</v>
      </c>
      <c r="P7" s="2" t="str">
        <f>IFERROR(VLOOKUP(Table3[[#This Row],[Prod_Name]],Table4[[#All],[Prod_Name]:[Remarks]],3,0),"")</f>
        <v>ccc</v>
      </c>
      <c r="Q7" s="2">
        <v>4</v>
      </c>
      <c r="R7" s="2" t="str">
        <f>IFERROR(VLOOKUP(Table3[[#This Row],[Prod_Name]],Table4[[#All],[Prod_Name]:[Remarks]],5,0),"")</f>
        <v>g</v>
      </c>
      <c r="S7" s="5"/>
      <c r="U7" s="14">
        <v>0</v>
      </c>
      <c r="V7" s="2" t="s">
        <v>14</v>
      </c>
      <c r="W7" s="2" t="s">
        <v>21</v>
      </c>
      <c r="X7" s="2" t="s">
        <v>28</v>
      </c>
      <c r="Y7" s="2">
        <f>Table4[[#This Row],[Opening Balance]]+SUMIFS(Table1[Qty],Table1[Prod_Name],Table4[[#This Row],[Prod_Name]])-SUMIFS(Table3[Qty],Table3[Prod_Name],Table4[[#This Row],[Prod_Name]])</f>
        <v>0</v>
      </c>
      <c r="Z7" s="2" t="s">
        <v>31</v>
      </c>
      <c r="AA7" s="5">
        <v>2</v>
      </c>
      <c r="AB7" s="5" t="str">
        <f>IF(Table4[[#This Row],[Min Bal Required]]="","",IF(Table4[[#This Row],[Min Bal Required]]&lt;Table4[[#This Row],[Qty]],"","Place Order"))</f>
        <v>Place Order</v>
      </c>
      <c r="AC7" s="5">
        <v>56</v>
      </c>
      <c r="AD7" s="5"/>
    </row>
    <row r="8" spans="1:30" x14ac:dyDescent="0.25">
      <c r="B8" s="16">
        <v>45628</v>
      </c>
      <c r="C8" s="19" t="str">
        <f>IF(Table1[[#This Row],[Date]]&lt;&gt;"",TEXT(Table1[[#This Row],[Date]],"mmm"),"")</f>
        <v>Dec</v>
      </c>
      <c r="D8" s="2" t="s">
        <v>48</v>
      </c>
      <c r="E8" s="2" t="str">
        <f>IFERROR(VLOOKUP(Table1[[#This Row],[Prod_Name]],Table4[[#All],[Prod_Name]:[Remarks]],2,0),"")</f>
        <v>DM13</v>
      </c>
      <c r="F8" s="2" t="str">
        <f>IFERROR(VLOOKUP(Table1[[#This Row],[Prod_Name]],Table4[[#All],[Prod_Name]:[Remarks]],3,0),"")</f>
        <v>ccc</v>
      </c>
      <c r="G8" s="2">
        <v>3</v>
      </c>
      <c r="H8" s="2" t="str">
        <f>IFERROR(VLOOKUP(Table1[[#This Row],[Prod_Name]],Table4[[#All],[Prod_Name]:[Remarks]],5,0),"")</f>
        <v>kg</v>
      </c>
      <c r="I8" s="5">
        <f>IFERROR(VLOOKUP(Table1[[#This Row],[Prod_Name]],Table4[[#All],[Prod_Name]:[Remarks]],8,0),"")</f>
        <v>56</v>
      </c>
      <c r="J8" s="5">
        <f>IFERROR(Table1[[#This Row],[Unit_Price]]*Table1[[#This Row],[Qty]],"")</f>
        <v>168</v>
      </c>
      <c r="K8" s="5"/>
      <c r="M8" s="16">
        <v>37905</v>
      </c>
      <c r="N8" s="2" t="s">
        <v>46</v>
      </c>
      <c r="O8" s="2" t="str">
        <f>IFERROR(VLOOKUP(Table3[[#This Row],[Prod_Name]],Table4[[#All],[Prod_Name]:[Remarks]],2,0),"")</f>
        <v>DM11</v>
      </c>
      <c r="P8" s="2" t="str">
        <f>IFERROR(VLOOKUP(Table3[[#This Row],[Prod_Name]],Table4[[#All],[Prod_Name]:[Remarks]],3,0),"")</f>
        <v>ccc</v>
      </c>
      <c r="Q8" s="2">
        <v>1</v>
      </c>
      <c r="R8" s="2" t="str">
        <f>IFERROR(VLOOKUP(Table3[[#This Row],[Prod_Name]],Table4[[#All],[Prod_Name]:[Remarks]],5,0),"")</f>
        <v>lt</v>
      </c>
      <c r="S8" s="5"/>
      <c r="U8" s="14">
        <v>2</v>
      </c>
      <c r="V8" s="2" t="s">
        <v>15</v>
      </c>
      <c r="W8" s="2" t="s">
        <v>22</v>
      </c>
      <c r="X8" s="2" t="s">
        <v>29</v>
      </c>
      <c r="Y8" s="2">
        <f>Table4[[#This Row],[Opening Balance]]+SUMIFS(Table1[Qty],Table1[Prod_Name],Table4[[#This Row],[Prod_Name]])-SUMIFS(Table3[Qty],Table3[Prod_Name],Table4[[#This Row],[Prod_Name]])</f>
        <v>2</v>
      </c>
      <c r="Z8" s="2" t="s">
        <v>33</v>
      </c>
      <c r="AA8" s="5">
        <v>1</v>
      </c>
      <c r="AB8" s="5" t="str">
        <f>IF(Table4[[#This Row],[Min Bal Required]]="","",IF(Table4[[#This Row],[Min Bal Required]]&lt;Table4[[#This Row],[Qty]],"","Place Order"))</f>
        <v/>
      </c>
      <c r="AC8" s="5">
        <v>12</v>
      </c>
      <c r="AD8" s="5"/>
    </row>
    <row r="9" spans="1:30" x14ac:dyDescent="0.25">
      <c r="A9" s="15"/>
      <c r="B9" s="16">
        <v>45263</v>
      </c>
      <c r="C9" s="19" t="str">
        <f>IF(Table1[[#This Row],[Date]]&lt;&gt;"",TEXT(Table1[[#This Row],[Date]],"mmm"),"")</f>
        <v>Dec</v>
      </c>
      <c r="D9" s="2" t="s">
        <v>47</v>
      </c>
      <c r="E9" s="2" t="str">
        <f>IFERROR(VLOOKUP(Table1[[#This Row],[Prod_Name]],Table4[[#All],[Prod_Name]:[Remarks]],2,0),"")</f>
        <v>DM12</v>
      </c>
      <c r="F9" s="2" t="str">
        <f>IFERROR(VLOOKUP(Table1[[#This Row],[Prod_Name]],Table4[[#All],[Prod_Name]:[Remarks]],3,0),"")</f>
        <v>ccc</v>
      </c>
      <c r="G9" s="2">
        <v>4</v>
      </c>
      <c r="H9" s="2" t="str">
        <f>IFERROR(VLOOKUP(Table1[[#This Row],[Prod_Name]],Table4[[#All],[Prod_Name]:[Remarks]],5,0),"")</f>
        <v>g</v>
      </c>
      <c r="I9" s="5">
        <f>IFERROR(VLOOKUP(Table1[[#This Row],[Prod_Name]],Table4[[#All],[Prod_Name]:[Remarks]],8,0),"")</f>
        <v>34</v>
      </c>
      <c r="J9" s="5">
        <f>IFERROR(Table1[[#This Row],[Unit_Price]]*Table1[[#This Row],[Qty]],"")</f>
        <v>136</v>
      </c>
      <c r="K9" s="5" t="s">
        <v>50</v>
      </c>
      <c r="M9" s="16">
        <v>37905</v>
      </c>
      <c r="N9" s="2" t="s">
        <v>48</v>
      </c>
      <c r="O9" s="2" t="str">
        <f>IFERROR(VLOOKUP(Table3[[#This Row],[Prod_Name]],Table4[[#All],[Prod_Name]:[Remarks]],2,0),"")</f>
        <v>DM13</v>
      </c>
      <c r="P9" s="2" t="str">
        <f>IFERROR(VLOOKUP(Table3[[#This Row],[Prod_Name]],Table4[[#All],[Prod_Name]:[Remarks]],3,0),"")</f>
        <v>ccc</v>
      </c>
      <c r="Q9" s="2">
        <v>2</v>
      </c>
      <c r="R9" s="2" t="str">
        <f>IFERROR(VLOOKUP(Table3[[#This Row],[Prod_Name]],Table4[[#All],[Prod_Name]:[Remarks]],5,0),"")</f>
        <v>kg</v>
      </c>
      <c r="S9" s="5"/>
      <c r="U9" s="14">
        <v>3</v>
      </c>
      <c r="V9" s="2" t="s">
        <v>16</v>
      </c>
      <c r="W9" s="2" t="s">
        <v>23</v>
      </c>
      <c r="X9" s="2" t="s">
        <v>28</v>
      </c>
      <c r="Y9" s="2">
        <f>Table4[[#This Row],[Opening Balance]]+SUMIFS(Table1[Qty],Table1[Prod_Name],Table4[[#This Row],[Prod_Name]])-SUMIFS(Table3[Qty],Table3[Prod_Name],Table4[[#This Row],[Prod_Name]])</f>
        <v>3</v>
      </c>
      <c r="Z9" s="2" t="s">
        <v>31</v>
      </c>
      <c r="AA9" s="5">
        <v>2</v>
      </c>
      <c r="AB9" s="5" t="str">
        <f>IF(Table4[[#This Row],[Min Bal Required]]="","",IF(Table4[[#This Row],[Min Bal Required]]&lt;Table4[[#This Row],[Qty]],"","Place Order"))</f>
        <v/>
      </c>
      <c r="AC9" s="5">
        <v>23</v>
      </c>
      <c r="AD9" s="5"/>
    </row>
    <row r="10" spans="1:30" x14ac:dyDescent="0.25">
      <c r="B10" s="16">
        <v>37937</v>
      </c>
      <c r="C10" s="19" t="str">
        <f>IF(Table1[[#This Row],[Date]]&lt;&gt;"",TEXT(Table1[[#This Row],[Date]],"mmm"),"")</f>
        <v>Nov</v>
      </c>
      <c r="D10" s="2" t="s">
        <v>20</v>
      </c>
      <c r="E10" s="2" t="str">
        <f>IFERROR(VLOOKUP(Table1[[#This Row],[Prod_Name]],Table4[[#All],[Prod_Name]:[Remarks]],2,0),"")</f>
        <v>DM07</v>
      </c>
      <c r="F10" s="2" t="str">
        <f>IFERROR(VLOOKUP(Table1[[#This Row],[Prod_Name]],Table4[[#All],[Prod_Name]:[Remarks]],3,0),"")</f>
        <v>xyz</v>
      </c>
      <c r="G10" s="2">
        <v>2</v>
      </c>
      <c r="H10" s="2" t="str">
        <f>IFERROR(VLOOKUP(Table1[[#This Row],[Prod_Name]],Table4[[#All],[Prod_Name]:[Remarks]],5,0),"")</f>
        <v>ml</v>
      </c>
      <c r="I10" s="5">
        <f>IFERROR(VLOOKUP(Table1[[#This Row],[Prod_Name]],Table4[[#All],[Prod_Name]:[Remarks]],8,0),"")</f>
        <v>34</v>
      </c>
      <c r="J10" s="5">
        <f>IFERROR(Table1[[#This Row],[Unit_Price]]*Table1[[#This Row],[Qty]],"")</f>
        <v>68</v>
      </c>
      <c r="K10" s="5"/>
      <c r="M10" s="16"/>
      <c r="N10" s="2"/>
      <c r="O10" s="2" t="str">
        <f>IFERROR(VLOOKUP(Table3[[#This Row],[Prod_Name]],Table4[[#All],[Prod_Name]:[Remarks]],2,0),"")</f>
        <v/>
      </c>
      <c r="P10" s="2" t="str">
        <f>IFERROR(VLOOKUP(Table3[[#This Row],[Prod_Name]],Table4[[#All],[Prod_Name]:[Remarks]],3,0),"")</f>
        <v/>
      </c>
      <c r="Q10" s="2"/>
      <c r="R10" s="2" t="str">
        <f>IFERROR(VLOOKUP(Table3[[#This Row],[Prod_Name]],Table4[[#All],[Prod_Name]:[Remarks]],5,0),"")</f>
        <v/>
      </c>
      <c r="S10" s="5"/>
      <c r="U10" s="14">
        <v>2</v>
      </c>
      <c r="V10" s="2" t="s">
        <v>17</v>
      </c>
      <c r="W10" s="2" t="s">
        <v>24</v>
      </c>
      <c r="X10" s="2" t="s">
        <v>28</v>
      </c>
      <c r="Y10" s="2">
        <f>Table4[[#This Row],[Opening Balance]]+SUMIFS(Table1[Qty],Table1[Prod_Name],Table4[[#This Row],[Prod_Name]])-SUMIFS(Table3[Qty],Table3[Prod_Name],Table4[[#This Row],[Prod_Name]])</f>
        <v>2</v>
      </c>
      <c r="Z10" s="2" t="s">
        <v>32</v>
      </c>
      <c r="AA10" s="5">
        <v>3</v>
      </c>
      <c r="AB10" s="5" t="str">
        <f>IF(Table4[[#This Row],[Min Bal Required]]="","",IF(Table4[[#This Row],[Min Bal Required]]&lt;Table4[[#This Row],[Qty]],"","Place Order"))</f>
        <v>Place Order</v>
      </c>
      <c r="AC10" s="5">
        <v>45</v>
      </c>
      <c r="AD10" s="5"/>
    </row>
    <row r="11" spans="1:30" x14ac:dyDescent="0.25">
      <c r="B11" s="16">
        <v>37937</v>
      </c>
      <c r="C11" s="19" t="str">
        <f>IF(Table1[[#This Row],[Date]]&lt;&gt;"",TEXT(Table1[[#This Row],[Date]],"mmm"),"")</f>
        <v>Nov</v>
      </c>
      <c r="D11" s="2" t="s">
        <v>46</v>
      </c>
      <c r="E11" s="2" t="str">
        <f>IFERROR(VLOOKUP(Table1[[#This Row],[Prod_Name]],Table4[[#All],[Prod_Name]:[Remarks]],2,0),"")</f>
        <v>DM11</v>
      </c>
      <c r="F11" s="2" t="str">
        <f>IFERROR(VLOOKUP(Table1[[#This Row],[Prod_Name]],Table4[[#All],[Prod_Name]:[Remarks]],3,0),"")</f>
        <v>ccc</v>
      </c>
      <c r="G11" s="2">
        <v>1</v>
      </c>
      <c r="H11" s="2" t="str">
        <f>IFERROR(VLOOKUP(Table1[[#This Row],[Prod_Name]],Table4[[#All],[Prod_Name]:[Remarks]],5,0),"")</f>
        <v>lt</v>
      </c>
      <c r="I11" s="5">
        <f>IFERROR(VLOOKUP(Table1[[#This Row],[Prod_Name]],Table4[[#All],[Prod_Name]:[Remarks]],8,0),"")</f>
        <v>12</v>
      </c>
      <c r="J11" s="5">
        <f>IFERROR(Table1[[#This Row],[Unit_Price]]*Table1[[#This Row],[Qty]],"")</f>
        <v>12</v>
      </c>
      <c r="K11" s="5"/>
      <c r="M11" s="16"/>
      <c r="N11" s="2"/>
      <c r="O11" s="2" t="str">
        <f>IFERROR(VLOOKUP(Table3[[#This Row],[Prod_Name]],Table4[[#All],[Prod_Name]:[Remarks]],2,0),"")</f>
        <v/>
      </c>
      <c r="P11" s="2" t="str">
        <f>IFERROR(VLOOKUP(Table3[[#This Row],[Prod_Name]],Table4[[#All],[Prod_Name]:[Remarks]],3,0),"")</f>
        <v/>
      </c>
      <c r="Q11" s="2"/>
      <c r="R11" s="2" t="str">
        <f>IFERROR(VLOOKUP(Table3[[#This Row],[Prod_Name]],Table4[[#All],[Prod_Name]:[Remarks]],5,0),"")</f>
        <v/>
      </c>
      <c r="S11" s="5"/>
      <c r="U11" s="14">
        <v>4</v>
      </c>
      <c r="V11" s="2" t="s">
        <v>18</v>
      </c>
      <c r="W11" s="2" t="s">
        <v>25</v>
      </c>
      <c r="X11" s="2" t="s">
        <v>28</v>
      </c>
      <c r="Y11" s="2">
        <f>Table4[[#This Row],[Opening Balance]]+SUMIFS(Table1[Qty],Table1[Prod_Name],Table4[[#This Row],[Prod_Name]])-SUMIFS(Table3[Qty],Table3[Prod_Name],Table4[[#This Row],[Prod_Name]])</f>
        <v>4</v>
      </c>
      <c r="Z11" s="2" t="s">
        <v>34</v>
      </c>
      <c r="AA11" s="5">
        <v>4</v>
      </c>
      <c r="AB11" s="5" t="str">
        <f>IF(Table4[[#This Row],[Min Bal Required]]="","",IF(Table4[[#This Row],[Min Bal Required]]&lt;Table4[[#This Row],[Qty]],"","Place Order"))</f>
        <v>Place Order</v>
      </c>
      <c r="AC11" s="5">
        <v>67</v>
      </c>
      <c r="AD11" s="5"/>
    </row>
    <row r="12" spans="1:30" x14ac:dyDescent="0.25">
      <c r="B12" s="16">
        <v>37937</v>
      </c>
      <c r="C12" s="19" t="str">
        <f>IF(Table1[[#This Row],[Date]]&lt;&gt;"",TEXT(Table1[[#This Row],[Date]],"mmm"),"")</f>
        <v>Nov</v>
      </c>
      <c r="D12" s="2" t="s">
        <v>47</v>
      </c>
      <c r="E12" s="2" t="str">
        <f>IFERROR(VLOOKUP(Table1[[#This Row],[Prod_Name]],Table4[[#All],[Prod_Name]:[Remarks]],2,0),"")</f>
        <v>DM12</v>
      </c>
      <c r="F12" s="2" t="str">
        <f>IFERROR(VLOOKUP(Table1[[#This Row],[Prod_Name]],Table4[[#All],[Prod_Name]:[Remarks]],3,0),"")</f>
        <v>ccc</v>
      </c>
      <c r="G12" s="2">
        <v>3</v>
      </c>
      <c r="H12" s="2" t="str">
        <f>IFERROR(VLOOKUP(Table1[[#This Row],[Prod_Name]],Table4[[#All],[Prod_Name]:[Remarks]],5,0),"")</f>
        <v>g</v>
      </c>
      <c r="I12" s="5">
        <f>IFERROR(VLOOKUP(Table1[[#This Row],[Prod_Name]],Table4[[#All],[Prod_Name]:[Remarks]],8,0),"")</f>
        <v>34</v>
      </c>
      <c r="J12" s="5">
        <f>IFERROR(Table1[[#This Row],[Unit_Price]]*Table1[[#This Row],[Qty]],"")</f>
        <v>102</v>
      </c>
      <c r="K12" s="5"/>
      <c r="M12" s="16"/>
      <c r="N12" s="2"/>
      <c r="O12" s="2" t="str">
        <f>IFERROR(VLOOKUP(Table3[[#This Row],[Prod_Name]],Table4[[#All],[Prod_Name]:[Remarks]],2,0),"")</f>
        <v/>
      </c>
      <c r="P12" s="2" t="str">
        <f>IFERROR(VLOOKUP(Table3[[#This Row],[Prod_Name]],Table4[[#All],[Prod_Name]:[Remarks]],3,0),"")</f>
        <v/>
      </c>
      <c r="Q12" s="2"/>
      <c r="R12" s="2" t="str">
        <f>IFERROR(VLOOKUP(Table3[[#This Row],[Prod_Name]],Table4[[#All],[Prod_Name]:[Remarks]],5,0),"")</f>
        <v/>
      </c>
      <c r="S12" s="5"/>
      <c r="U12" s="14">
        <v>5</v>
      </c>
      <c r="V12" s="2" t="s">
        <v>19</v>
      </c>
      <c r="W12" s="2" t="s">
        <v>26</v>
      </c>
      <c r="X12" s="2" t="s">
        <v>29</v>
      </c>
      <c r="Y12" s="2">
        <f>Table4[[#This Row],[Opening Balance]]+SUMIFS(Table1[Qty],Table1[Prod_Name],Table4[[#This Row],[Prod_Name]])-SUMIFS(Table3[Qty],Table3[Prod_Name],Table4[[#This Row],[Prod_Name]])</f>
        <v>5</v>
      </c>
      <c r="Z12" s="2" t="s">
        <v>31</v>
      </c>
      <c r="AA12" s="5">
        <v>3</v>
      </c>
      <c r="AB12" s="5" t="str">
        <f>IF(Table4[[#This Row],[Min Bal Required]]="","",IF(Table4[[#This Row],[Min Bal Required]]&lt;Table4[[#This Row],[Qty]],"","Place Order"))</f>
        <v/>
      </c>
      <c r="AC12" s="5">
        <v>23</v>
      </c>
      <c r="AD12" s="5"/>
    </row>
    <row r="13" spans="1:30" x14ac:dyDescent="0.25">
      <c r="B13" s="16">
        <v>37937</v>
      </c>
      <c r="C13" s="19" t="str">
        <f>IF(Table1[[#This Row],[Date]]&lt;&gt;"",TEXT(Table1[[#This Row],[Date]],"mmm"),"")</f>
        <v>Nov</v>
      </c>
      <c r="D13" s="2" t="s">
        <v>48</v>
      </c>
      <c r="E13" s="2" t="str">
        <f>IFERROR(VLOOKUP(Table1[[#This Row],[Prod_Name]],Table4[[#All],[Prod_Name]:[Remarks]],2,0),"")</f>
        <v>DM13</v>
      </c>
      <c r="F13" s="2" t="str">
        <f>IFERROR(VLOOKUP(Table1[[#This Row],[Prod_Name]],Table4[[#All],[Prod_Name]:[Remarks]],3,0),"")</f>
        <v>ccc</v>
      </c>
      <c r="G13" s="2">
        <v>4</v>
      </c>
      <c r="H13" s="2" t="str">
        <f>IFERROR(VLOOKUP(Table1[[#This Row],[Prod_Name]],Table4[[#All],[Prod_Name]:[Remarks]],5,0),"")</f>
        <v>kg</v>
      </c>
      <c r="I13" s="5">
        <f>IFERROR(VLOOKUP(Table1[[#This Row],[Prod_Name]],Table4[[#All],[Prod_Name]:[Remarks]],8,0),"")</f>
        <v>56</v>
      </c>
      <c r="J13" s="5">
        <f>IFERROR(Table1[[#This Row],[Unit_Price]]*Table1[[#This Row],[Qty]],"")</f>
        <v>224</v>
      </c>
      <c r="K13" s="5"/>
      <c r="M13" s="16"/>
      <c r="N13" s="2"/>
      <c r="O13" s="2" t="str">
        <f>IFERROR(VLOOKUP(Table3[[#This Row],[Prod_Name]],Table4[[#All],[Prod_Name]:[Remarks]],2,0),"")</f>
        <v/>
      </c>
      <c r="P13" s="2" t="str">
        <f>IFERROR(VLOOKUP(Table3[[#This Row],[Prod_Name]],Table4[[#All],[Prod_Name]:[Remarks]],3,0),"")</f>
        <v/>
      </c>
      <c r="Q13" s="2"/>
      <c r="R13" s="2" t="str">
        <f>IFERROR(VLOOKUP(Table3[[#This Row],[Prod_Name]],Table4[[#All],[Prod_Name]:[Remarks]],5,0),"")</f>
        <v/>
      </c>
      <c r="S13" s="5"/>
      <c r="U13" s="14">
        <v>2</v>
      </c>
      <c r="V13" s="2" t="s">
        <v>20</v>
      </c>
      <c r="W13" s="2" t="s">
        <v>27</v>
      </c>
      <c r="X13" s="2" t="s">
        <v>29</v>
      </c>
      <c r="Y13" s="2">
        <f>Table4[[#This Row],[Opening Balance]]+SUMIFS(Table1[Qty],Table1[Prod_Name],Table4[[#This Row],[Prod_Name]])-SUMIFS(Table3[Qty],Table3[Prod_Name],Table4[[#This Row],[Prod_Name]])</f>
        <v>4</v>
      </c>
      <c r="Z13" s="2" t="s">
        <v>32</v>
      </c>
      <c r="AA13" s="5">
        <v>2</v>
      </c>
      <c r="AB13" s="5" t="str">
        <f>IF(Table4[[#This Row],[Min Bal Required]]="","",IF(Table4[[#This Row],[Min Bal Required]]&lt;Table4[[#This Row],[Qty]],"","Place Order"))</f>
        <v/>
      </c>
      <c r="AC13" s="5">
        <v>34</v>
      </c>
      <c r="AD13" s="5"/>
    </row>
    <row r="14" spans="1:30" x14ac:dyDescent="0.25">
      <c r="B14" s="16"/>
      <c r="C14" s="19" t="str">
        <f>IF(Table1[[#This Row],[Date]]&lt;&gt;"",TEXT(Table1[[#This Row],[Date]],"mmm"),"")</f>
        <v/>
      </c>
      <c r="D14" s="2"/>
      <c r="E14" s="2" t="str">
        <f>IFERROR(VLOOKUP(Table1[[#This Row],[Prod_Name]],Table4[[#All],[Prod_Name]:[Remarks]],2,0),"")</f>
        <v/>
      </c>
      <c r="F14" s="2" t="str">
        <f>IFERROR(VLOOKUP(Table1[[#This Row],[Prod_Name]],Table4[[#All],[Prod_Name]:[Remarks]],3,0),"")</f>
        <v/>
      </c>
      <c r="G14" s="2"/>
      <c r="H14" s="2" t="str">
        <f>IFERROR(VLOOKUP(Table1[[#This Row],[Prod_Name]],Table4[[#All],[Prod_Name]:[Remarks]],5,0),"")</f>
        <v/>
      </c>
      <c r="I14" s="5" t="str">
        <f>IFERROR(VLOOKUP(Table1[[#This Row],[Prod_Name]],Table4[[#All],[Prod_Name]:[Remarks]],8,0),"")</f>
        <v/>
      </c>
      <c r="J14" s="5" t="str">
        <f>IFERROR(Table1[[#This Row],[Unit_Price]]*Table1[[#This Row],[Qty]],"")</f>
        <v/>
      </c>
      <c r="K14" s="5"/>
      <c r="M14" s="16"/>
      <c r="N14" s="2"/>
      <c r="O14" s="2" t="str">
        <f>IFERROR(VLOOKUP(Table3[[#This Row],[Prod_Name]],Table4[[#All],[Prod_Name]:[Remarks]],2,0),"")</f>
        <v/>
      </c>
      <c r="P14" s="2" t="str">
        <f>IFERROR(VLOOKUP(Table3[[#This Row],[Prod_Name]],Table4[[#All],[Prod_Name]:[Remarks]],3,0),"")</f>
        <v/>
      </c>
      <c r="Q14" s="2"/>
      <c r="R14" s="2" t="str">
        <f>IFERROR(VLOOKUP(Table3[[#This Row],[Prod_Name]],Table4[[#All],[Prod_Name]:[Remarks]],5,0),"")</f>
        <v/>
      </c>
      <c r="S14" s="5"/>
      <c r="U14" s="14">
        <v>1</v>
      </c>
      <c r="V14" s="2" t="s">
        <v>43</v>
      </c>
      <c r="W14" s="2" t="s">
        <v>36</v>
      </c>
      <c r="X14" s="2" t="s">
        <v>28</v>
      </c>
      <c r="Y14" s="2">
        <f>Table4[[#This Row],[Opening Balance]]+SUMIFS(Table1[Qty],Table1[Prod_Name],Table4[[#This Row],[Prod_Name]])-SUMIFS(Table3[Qty],Table3[Prod_Name],Table4[[#This Row],[Prod_Name]])</f>
        <v>1</v>
      </c>
      <c r="Z14" s="2" t="s">
        <v>31</v>
      </c>
      <c r="AA14" s="5">
        <v>2</v>
      </c>
      <c r="AB14" s="5" t="str">
        <f>IF(Table4[[#This Row],[Min Bal Required]]="","",IF(Table4[[#This Row],[Min Bal Required]]&lt;Table4[[#This Row],[Qty]],"","Place Order"))</f>
        <v>Place Order</v>
      </c>
      <c r="AC14" s="5">
        <v>56</v>
      </c>
      <c r="AD14" s="5"/>
    </row>
    <row r="15" spans="1:30" x14ac:dyDescent="0.25">
      <c r="B15" s="16"/>
      <c r="C15" s="19" t="str">
        <f>IF(Table1[[#This Row],[Date]]&lt;&gt;"",TEXT(Table1[[#This Row],[Date]],"mmm"),"")</f>
        <v/>
      </c>
      <c r="D15" s="2"/>
      <c r="E15" s="2" t="str">
        <f>IFERROR(VLOOKUP(Table1[[#This Row],[Prod_Name]],Table4[[#All],[Prod_Name]:[Remarks]],2,0),"")</f>
        <v/>
      </c>
      <c r="F15" s="2" t="str">
        <f>IFERROR(VLOOKUP(Table1[[#This Row],[Prod_Name]],Table4[[#All],[Prod_Name]:[Remarks]],3,0),"")</f>
        <v/>
      </c>
      <c r="G15" s="2"/>
      <c r="H15" s="2" t="str">
        <f>IFERROR(VLOOKUP(Table1[[#This Row],[Prod_Name]],Table4[[#All],[Prod_Name]:[Remarks]],5,0),"")</f>
        <v/>
      </c>
      <c r="I15" s="5" t="str">
        <f>IFERROR(VLOOKUP(Table1[[#This Row],[Prod_Name]],Table4[[#All],[Prod_Name]:[Remarks]],8,0),"")</f>
        <v/>
      </c>
      <c r="J15" s="5" t="str">
        <f>IFERROR(Table1[[#This Row],[Unit_Price]]*Table1[[#This Row],[Qty]],"")</f>
        <v/>
      </c>
      <c r="K15" s="5"/>
      <c r="M15" s="16"/>
      <c r="N15" s="2"/>
      <c r="O15" s="2" t="str">
        <f>IFERROR(VLOOKUP(Table3[[#This Row],[Prod_Name]],Table4[[#All],[Prod_Name]:[Remarks]],2,0),"")</f>
        <v/>
      </c>
      <c r="P15" s="2" t="str">
        <f>IFERROR(VLOOKUP(Table3[[#This Row],[Prod_Name]],Table4[[#All],[Prod_Name]:[Remarks]],3,0),"")</f>
        <v/>
      </c>
      <c r="Q15" s="2"/>
      <c r="R15" s="2" t="str">
        <f>IFERROR(VLOOKUP(Table3[[#This Row],[Prod_Name]],Table4[[#All],[Prod_Name]:[Remarks]],5,0),"")</f>
        <v/>
      </c>
      <c r="S15" s="5"/>
      <c r="U15" s="14">
        <v>4</v>
      </c>
      <c r="V15" s="2" t="s">
        <v>44</v>
      </c>
      <c r="W15" s="2" t="s">
        <v>37</v>
      </c>
      <c r="X15" s="2" t="s">
        <v>29</v>
      </c>
      <c r="Y15" s="2">
        <f>Table4[[#This Row],[Opening Balance]]+SUMIFS(Table1[Qty],Table1[Prod_Name],Table4[[#This Row],[Prod_Name]])-SUMIFS(Table3[Qty],Table3[Prod_Name],Table4[[#This Row],[Prod_Name]])</f>
        <v>4</v>
      </c>
      <c r="Z15" s="2" t="s">
        <v>32</v>
      </c>
      <c r="AA15" s="5">
        <v>2</v>
      </c>
      <c r="AB15" s="5" t="str">
        <f>IF(Table4[[#This Row],[Min Bal Required]]="","",IF(Table4[[#This Row],[Min Bal Required]]&lt;Table4[[#This Row],[Qty]],"","Place Order"))</f>
        <v/>
      </c>
      <c r="AC15" s="5">
        <v>23</v>
      </c>
      <c r="AD15" s="5"/>
    </row>
    <row r="16" spans="1:30" x14ac:dyDescent="0.25">
      <c r="B16" s="16"/>
      <c r="C16" s="19" t="str">
        <f>IF(Table1[[#This Row],[Date]]&lt;&gt;"",TEXT(Table1[[#This Row],[Date]],"mmm"),"")</f>
        <v/>
      </c>
      <c r="D16" s="2"/>
      <c r="E16" s="2" t="str">
        <f>IFERROR(VLOOKUP(Table1[[#This Row],[Prod_Name]],Table4[[#All],[Prod_Name]:[Remarks]],2,0),"")</f>
        <v/>
      </c>
      <c r="F16" s="2" t="str">
        <f>IFERROR(VLOOKUP(Table1[[#This Row],[Prod_Name]],Table4[[#All],[Prod_Name]:[Remarks]],3,0),"")</f>
        <v/>
      </c>
      <c r="G16" s="2"/>
      <c r="H16" s="2" t="str">
        <f>IFERROR(VLOOKUP(Table1[[#This Row],[Prod_Name]],Table4[[#All],[Prod_Name]:[Remarks]],5,0),"")</f>
        <v/>
      </c>
      <c r="I16" s="5" t="str">
        <f>IFERROR(VLOOKUP(Table1[[#This Row],[Prod_Name]],Table4[[#All],[Prod_Name]:[Remarks]],8,0),"")</f>
        <v/>
      </c>
      <c r="J16" s="5" t="str">
        <f>IFERROR(Table1[[#This Row],[Unit_Price]]*Table1[[#This Row],[Qty]],"")</f>
        <v/>
      </c>
      <c r="K16" s="5"/>
      <c r="M16" s="16"/>
      <c r="N16" s="2"/>
      <c r="O16" s="2" t="str">
        <f>IFERROR(VLOOKUP(Table3[[#This Row],[Prod_Name]],Table4[[#All],[Prod_Name]:[Remarks]],2,0),"")</f>
        <v/>
      </c>
      <c r="P16" s="2" t="str">
        <f>IFERROR(VLOOKUP(Table3[[#This Row],[Prod_Name]],Table4[[#All],[Prod_Name]:[Remarks]],3,0),"")</f>
        <v/>
      </c>
      <c r="Q16" s="2"/>
      <c r="R16" s="2" t="str">
        <f>IFERROR(VLOOKUP(Table3[[#This Row],[Prod_Name]],Table4[[#All],[Prod_Name]:[Remarks]],5,0),"")</f>
        <v/>
      </c>
      <c r="S16" s="5"/>
      <c r="U16" s="14">
        <v>2</v>
      </c>
      <c r="V16" s="2" t="s">
        <v>45</v>
      </c>
      <c r="W16" s="2" t="s">
        <v>38</v>
      </c>
      <c r="X16" s="2" t="s">
        <v>29</v>
      </c>
      <c r="Y16" s="2">
        <f>Table4[[#This Row],[Opening Balance]]+SUMIFS(Table1[Qty],Table1[Prod_Name],Table4[[#This Row],[Prod_Name]])-SUMIFS(Table3[Qty],Table3[Prod_Name],Table4[[#This Row],[Prod_Name]])</f>
        <v>2</v>
      </c>
      <c r="Z16" s="2" t="s">
        <v>34</v>
      </c>
      <c r="AA16" s="5">
        <v>2</v>
      </c>
      <c r="AB16" s="5" t="str">
        <f>IF(Table4[[#This Row],[Min Bal Required]]="","",IF(Table4[[#This Row],[Min Bal Required]]&lt;Table4[[#This Row],[Qty]],"","Place Order"))</f>
        <v>Place Order</v>
      </c>
      <c r="AC16" s="5">
        <v>12</v>
      </c>
      <c r="AD16" s="5"/>
    </row>
    <row r="17" spans="2:30" x14ac:dyDescent="0.25">
      <c r="B17" s="16"/>
      <c r="C17" s="19" t="str">
        <f>IF(Table1[[#This Row],[Date]]&lt;&gt;"",TEXT(Table1[[#This Row],[Date]],"mmm"),"")</f>
        <v/>
      </c>
      <c r="D17" s="2"/>
      <c r="E17" s="2" t="str">
        <f>IFERROR(VLOOKUP(Table1[[#This Row],[Prod_Name]],Table4[[#All],[Prod_Name]:[Remarks]],2,0),"")</f>
        <v/>
      </c>
      <c r="F17" s="2" t="str">
        <f>IFERROR(VLOOKUP(Table1[[#This Row],[Prod_Name]],Table4[[#All],[Prod_Name]:[Remarks]],3,0),"")</f>
        <v/>
      </c>
      <c r="G17" s="2"/>
      <c r="H17" s="2" t="str">
        <f>IFERROR(VLOOKUP(Table1[[#This Row],[Prod_Name]],Table4[[#All],[Prod_Name]:[Remarks]],5,0),"")</f>
        <v/>
      </c>
      <c r="I17" s="5" t="str">
        <f>IFERROR(VLOOKUP(Table1[[#This Row],[Prod_Name]],Table4[[#All],[Prod_Name]:[Remarks]],8,0),"")</f>
        <v/>
      </c>
      <c r="J17" s="5" t="str">
        <f>IFERROR(Table1[[#This Row],[Unit_Price]]*Table1[[#This Row],[Qty]],"")</f>
        <v/>
      </c>
      <c r="K17" s="5"/>
      <c r="M17" s="16"/>
      <c r="N17" s="2"/>
      <c r="O17" s="2" t="str">
        <f>IFERROR(VLOOKUP(Table3[[#This Row],[Prod_Name]],Table4[[#All],[Prod_Name]:[Remarks]],2,0),"")</f>
        <v/>
      </c>
      <c r="P17" s="2" t="str">
        <f>IFERROR(VLOOKUP(Table3[[#This Row],[Prod_Name]],Table4[[#All],[Prod_Name]:[Remarks]],3,0),"")</f>
        <v/>
      </c>
      <c r="Q17" s="2"/>
      <c r="R17" s="2" t="str">
        <f>IFERROR(VLOOKUP(Table3[[#This Row],[Prod_Name]],Table4[[#All],[Prod_Name]:[Remarks]],5,0),"")</f>
        <v/>
      </c>
      <c r="S17" s="5"/>
      <c r="U17" s="14">
        <v>4</v>
      </c>
      <c r="V17" s="2" t="s">
        <v>46</v>
      </c>
      <c r="W17" s="2" t="s">
        <v>39</v>
      </c>
      <c r="X17" s="2" t="s">
        <v>30</v>
      </c>
      <c r="Y17" s="2">
        <f>Table4[[#This Row],[Opening Balance]]+SUMIFS(Table1[Qty],Table1[Prod_Name],Table4[[#This Row],[Prod_Name]])-SUMIFS(Table3[Qty],Table3[Prod_Name],Table4[[#This Row],[Prod_Name]])</f>
        <v>6</v>
      </c>
      <c r="Z17" s="2" t="s">
        <v>34</v>
      </c>
      <c r="AA17" s="5">
        <v>4</v>
      </c>
      <c r="AB17" s="5" t="str">
        <f>IF(Table4[[#This Row],[Min Bal Required]]="","",IF(Table4[[#This Row],[Min Bal Required]]&lt;Table4[[#This Row],[Qty]],"","Place Order"))</f>
        <v/>
      </c>
      <c r="AC17" s="5">
        <v>12</v>
      </c>
      <c r="AD17" s="5"/>
    </row>
    <row r="18" spans="2:30" x14ac:dyDescent="0.25">
      <c r="B18" s="16"/>
      <c r="C18" s="19" t="str">
        <f>IF(Table1[[#This Row],[Date]]&lt;&gt;"",TEXT(Table1[[#This Row],[Date]],"mmm"),"")</f>
        <v/>
      </c>
      <c r="D18" s="2"/>
      <c r="E18" s="2" t="str">
        <f>IFERROR(VLOOKUP(Table1[[#This Row],[Prod_Name]],Table4[[#All],[Prod_Name]:[Remarks]],2,0),"")</f>
        <v/>
      </c>
      <c r="F18" s="2" t="str">
        <f>IFERROR(VLOOKUP(Table1[[#This Row],[Prod_Name]],Table4[[#All],[Prod_Name]:[Remarks]],3,0),"")</f>
        <v/>
      </c>
      <c r="G18" s="2"/>
      <c r="H18" s="2" t="str">
        <f>IFERROR(VLOOKUP(Table1[[#This Row],[Prod_Name]],Table4[[#All],[Prod_Name]:[Remarks]],5,0),"")</f>
        <v/>
      </c>
      <c r="I18" s="5" t="str">
        <f>IFERROR(VLOOKUP(Table1[[#This Row],[Prod_Name]],Table4[[#All],[Prod_Name]:[Remarks]],8,0),"")</f>
        <v/>
      </c>
      <c r="J18" s="5" t="str">
        <f>IFERROR(Table1[[#This Row],[Unit_Price]]*Table1[[#This Row],[Qty]],"")</f>
        <v/>
      </c>
      <c r="K18" s="5"/>
      <c r="M18" s="16"/>
      <c r="N18" s="2"/>
      <c r="O18" s="2" t="str">
        <f>IFERROR(VLOOKUP(Table3[[#This Row],[Prod_Name]],Table4[[#All],[Prod_Name]:[Remarks]],2,0),"")</f>
        <v/>
      </c>
      <c r="P18" s="2" t="str">
        <f>IFERROR(VLOOKUP(Table3[[#This Row],[Prod_Name]],Table4[[#All],[Prod_Name]:[Remarks]],3,0),"")</f>
        <v/>
      </c>
      <c r="Q18" s="2"/>
      <c r="R18" s="2" t="str">
        <f>IFERROR(VLOOKUP(Table3[[#This Row],[Prod_Name]],Table4[[#All],[Prod_Name]:[Remarks]],5,0),"")</f>
        <v/>
      </c>
      <c r="S18" s="5"/>
      <c r="U18" s="14">
        <v>5</v>
      </c>
      <c r="V18" s="2" t="s">
        <v>47</v>
      </c>
      <c r="W18" s="2" t="s">
        <v>40</v>
      </c>
      <c r="X18" s="2" t="s">
        <v>30</v>
      </c>
      <c r="Y18" s="2">
        <f>Table4[[#This Row],[Opening Balance]]+SUMIFS(Table1[Qty],Table1[Prod_Name],Table4[[#This Row],[Prod_Name]])-SUMIFS(Table3[Qty],Table3[Prod_Name],Table4[[#This Row],[Prod_Name]])</f>
        <v>8</v>
      </c>
      <c r="Z18" s="2" t="s">
        <v>31</v>
      </c>
      <c r="AA18" s="5">
        <v>6</v>
      </c>
      <c r="AB18" s="5" t="str">
        <f>IF(Table4[[#This Row],[Min Bal Required]]="","",IF(Table4[[#This Row],[Min Bal Required]]&lt;Table4[[#This Row],[Qty]],"","Place Order"))</f>
        <v/>
      </c>
      <c r="AC18" s="5">
        <v>34</v>
      </c>
      <c r="AD18" s="5"/>
    </row>
    <row r="19" spans="2:30" x14ac:dyDescent="0.25">
      <c r="B19" s="16"/>
      <c r="C19" s="19" t="str">
        <f>IF(Table1[[#This Row],[Date]]&lt;&gt;"",TEXT(Table1[[#This Row],[Date]],"mmm"),"")</f>
        <v/>
      </c>
      <c r="D19" s="2"/>
      <c r="E19" s="2" t="str">
        <f>IFERROR(VLOOKUP(Table1[[#This Row],[Prod_Name]],Table4[[#All],[Prod_Name]:[Remarks]],2,0),"")</f>
        <v/>
      </c>
      <c r="F19" s="2" t="str">
        <f>IFERROR(VLOOKUP(Table1[[#This Row],[Prod_Name]],Table4[[#All],[Prod_Name]:[Remarks]],3,0),"")</f>
        <v/>
      </c>
      <c r="G19" s="2"/>
      <c r="H19" s="2" t="str">
        <f>IFERROR(VLOOKUP(Table1[[#This Row],[Prod_Name]],Table4[[#All],[Prod_Name]:[Remarks]],5,0),"")</f>
        <v/>
      </c>
      <c r="I19" s="5" t="str">
        <f>IFERROR(VLOOKUP(Table1[[#This Row],[Prod_Name]],Table4[[#All],[Prod_Name]:[Remarks]],8,0),"")</f>
        <v/>
      </c>
      <c r="J19" s="5" t="str">
        <f>IFERROR(Table1[[#This Row],[Unit_Price]]*Table1[[#This Row],[Qty]],"")</f>
        <v/>
      </c>
      <c r="K19" s="5"/>
      <c r="M19" s="16"/>
      <c r="N19" s="2"/>
      <c r="O19" s="2" t="str">
        <f>IFERROR(VLOOKUP(Table3[[#This Row],[Prod_Name]],Table4[[#All],[Prod_Name]:[Remarks]],2,0),"")</f>
        <v/>
      </c>
      <c r="P19" s="2" t="str">
        <f>IFERROR(VLOOKUP(Table3[[#This Row],[Prod_Name]],Table4[[#All],[Prod_Name]:[Remarks]],3,0),"")</f>
        <v/>
      </c>
      <c r="Q19" s="2"/>
      <c r="R19" s="2" t="str">
        <f>IFERROR(VLOOKUP(Table3[[#This Row],[Prod_Name]],Table4[[#All],[Prod_Name]:[Remarks]],5,0),"")</f>
        <v/>
      </c>
      <c r="S19" s="5"/>
      <c r="U19" s="14">
        <v>3</v>
      </c>
      <c r="V19" s="2" t="s">
        <v>48</v>
      </c>
      <c r="W19" s="2" t="s">
        <v>41</v>
      </c>
      <c r="X19" s="2" t="s">
        <v>30</v>
      </c>
      <c r="Y19" s="2">
        <f>Table4[[#This Row],[Opening Balance]]+SUMIFS(Table1[Qty],Table1[Prod_Name],Table4[[#This Row],[Prod_Name]])-SUMIFS(Table3[Qty],Table3[Prod_Name],Table4[[#This Row],[Prod_Name]])</f>
        <v>8</v>
      </c>
      <c r="Z19" s="2" t="s">
        <v>33</v>
      </c>
      <c r="AA19" s="5">
        <v>7</v>
      </c>
      <c r="AB19" s="5" t="str">
        <f>IF(Table4[[#This Row],[Min Bal Required]]="","",IF(Table4[[#This Row],[Min Bal Required]]&lt;Table4[[#This Row],[Qty]],"","Place Order"))</f>
        <v/>
      </c>
      <c r="AC19" s="5">
        <v>56</v>
      </c>
      <c r="AD19" s="5"/>
    </row>
    <row r="20" spans="2:30" x14ac:dyDescent="0.25">
      <c r="B20" s="16"/>
      <c r="C20" s="19" t="str">
        <f>IF(Table1[[#This Row],[Date]]&lt;&gt;"",TEXT(Table1[[#This Row],[Date]],"mmm"),"")</f>
        <v/>
      </c>
      <c r="D20" s="2"/>
      <c r="E20" s="2" t="str">
        <f>IFERROR(VLOOKUP(Table1[[#This Row],[Prod_Name]],Table4[[#All],[Prod_Name]:[Remarks]],2,0),"")</f>
        <v/>
      </c>
      <c r="F20" s="2" t="str">
        <f>IFERROR(VLOOKUP(Table1[[#This Row],[Prod_Name]],Table4[[#All],[Prod_Name]:[Remarks]],3,0),"")</f>
        <v/>
      </c>
      <c r="G20" s="2"/>
      <c r="H20" s="2" t="str">
        <f>IFERROR(VLOOKUP(Table1[[#This Row],[Prod_Name]],Table4[[#All],[Prod_Name]:[Remarks]],5,0),"")</f>
        <v/>
      </c>
      <c r="I20" s="5" t="str">
        <f>IFERROR(VLOOKUP(Table1[[#This Row],[Prod_Name]],Table4[[#All],[Prod_Name]:[Remarks]],8,0),"")</f>
        <v/>
      </c>
      <c r="J20" s="5" t="str">
        <f>IFERROR(Table1[[#This Row],[Unit_Price]]*Table1[[#This Row],[Qty]],"")</f>
        <v/>
      </c>
      <c r="K20" s="5"/>
      <c r="M20" s="16"/>
      <c r="N20" s="2"/>
      <c r="O20" s="2" t="str">
        <f>IFERROR(VLOOKUP(Table3[[#This Row],[Prod_Name]],Table4[[#All],[Prod_Name]:[Remarks]],2,0),"")</f>
        <v/>
      </c>
      <c r="P20" s="2" t="str">
        <f>IFERROR(VLOOKUP(Table3[[#This Row],[Prod_Name]],Table4[[#All],[Prod_Name]:[Remarks]],3,0),"")</f>
        <v/>
      </c>
      <c r="Q20" s="2"/>
      <c r="R20" s="2" t="str">
        <f>IFERROR(VLOOKUP(Table3[[#This Row],[Prod_Name]],Table4[[#All],[Prod_Name]:[Remarks]],5,0),"")</f>
        <v/>
      </c>
      <c r="S20" s="5"/>
      <c r="U20" s="14">
        <v>2</v>
      </c>
      <c r="V20" s="2" t="s">
        <v>49</v>
      </c>
      <c r="W20" s="2" t="s">
        <v>42</v>
      </c>
      <c r="X20" s="2" t="s">
        <v>28</v>
      </c>
      <c r="Y20" s="2">
        <f>Table4[[#This Row],[Opening Balance]]+SUMIFS(Table1[Qty],Table1[Prod_Name],Table4[[#This Row],[Prod_Name]])-SUMIFS(Table3[Qty],Table3[Prod_Name],Table4[[#This Row],[Prod_Name]])</f>
        <v>2</v>
      </c>
      <c r="Z20" s="2" t="s">
        <v>33</v>
      </c>
      <c r="AA20" s="5">
        <v>4</v>
      </c>
      <c r="AB20" s="5" t="str">
        <f>IF(Table4[[#This Row],[Min Bal Required]]="","",IF(Table4[[#This Row],[Min Bal Required]]&lt;Table4[[#This Row],[Qty]],"","Place Order"))</f>
        <v>Place Order</v>
      </c>
      <c r="AC20" s="5">
        <v>67</v>
      </c>
      <c r="AD20" s="5"/>
    </row>
    <row r="21" spans="2:30" x14ac:dyDescent="0.25">
      <c r="B21" s="16"/>
      <c r="C21" s="19" t="str">
        <f>IF(Table1[[#This Row],[Date]]&lt;&gt;"",TEXT(Table1[[#This Row],[Date]],"mmm"),"")</f>
        <v/>
      </c>
      <c r="D21" s="2"/>
      <c r="E21" s="2" t="str">
        <f>IFERROR(VLOOKUP(Table1[[#This Row],[Prod_Name]],Table4[[#All],[Prod_Name]:[Remarks]],2,0),"")</f>
        <v/>
      </c>
      <c r="F21" s="2" t="str">
        <f>IFERROR(VLOOKUP(Table1[[#This Row],[Prod_Name]],Table4[[#All],[Prod_Name]:[Remarks]],3,0),"")</f>
        <v/>
      </c>
      <c r="G21" s="2"/>
      <c r="H21" s="2" t="str">
        <f>IFERROR(VLOOKUP(Table1[[#This Row],[Prod_Name]],Table4[[#All],[Prod_Name]:[Remarks]],5,0),"")</f>
        <v/>
      </c>
      <c r="I21" s="5" t="str">
        <f>IFERROR(VLOOKUP(Table1[[#This Row],[Prod_Name]],Table4[[#All],[Prod_Name]:[Remarks]],8,0),"")</f>
        <v/>
      </c>
      <c r="J21" s="5" t="str">
        <f>IFERROR(Table1[[#This Row],[Unit_Price]]*Table1[[#This Row],[Qty]],"")</f>
        <v/>
      </c>
      <c r="K21" s="5"/>
      <c r="M21" s="16"/>
      <c r="N21" s="2"/>
      <c r="O21" s="2" t="str">
        <f>IFERROR(VLOOKUP(Table3[[#This Row],[Prod_Name]],Table4[[#All],[Prod_Name]:[Remarks]],2,0),"")</f>
        <v/>
      </c>
      <c r="P21" s="2" t="str">
        <f>IFERROR(VLOOKUP(Table3[[#This Row],[Prod_Name]],Table4[[#All],[Prod_Name]:[Remarks]],3,0),"")</f>
        <v/>
      </c>
      <c r="Q21" s="2"/>
      <c r="R21" s="2" t="str">
        <f>IFERROR(VLOOKUP(Table3[[#This Row],[Prod_Name]],Table4[[#All],[Prod_Name]:[Remarks]],5,0),"")</f>
        <v/>
      </c>
      <c r="S21" s="5"/>
      <c r="U21" s="4"/>
      <c r="V21" s="2"/>
      <c r="W21" s="2"/>
      <c r="X21" s="2"/>
      <c r="Y21" s="2">
        <f>Table4[[#This Row],[Opening Balance]]+SUMIFS(Table1[Qty],Table1[Prod_Name],Table4[[#This Row],[Prod_Name]])-SUMIFS(Table3[Qty],Table3[Prod_Name],Table4[[#This Row],[Prod_Name]])</f>
        <v>0</v>
      </c>
      <c r="Z21" s="2"/>
      <c r="AA21" s="5"/>
      <c r="AB21" s="5" t="str">
        <f>IF(Table4[[#This Row],[Min Bal Required]]="","",IF(Table4[[#This Row],[Min Bal Required]]&lt;Table4[[#This Row],[Qty]],"","Place Order"))</f>
        <v/>
      </c>
      <c r="AC21" s="5"/>
      <c r="AD21" s="5"/>
    </row>
    <row r="22" spans="2:30" x14ac:dyDescent="0.25">
      <c r="B22" s="16"/>
      <c r="C22" s="19" t="str">
        <f>IF(Table1[[#This Row],[Date]]&lt;&gt;"",TEXT(Table1[[#This Row],[Date]],"mmm"),"")</f>
        <v/>
      </c>
      <c r="D22" s="2"/>
      <c r="E22" s="2" t="str">
        <f>IFERROR(VLOOKUP(Table1[[#This Row],[Prod_Name]],Table4[[#All],[Prod_Name]:[Remarks]],2,0),"")</f>
        <v/>
      </c>
      <c r="F22" s="2" t="str">
        <f>IFERROR(VLOOKUP(Table1[[#This Row],[Prod_Name]],Table4[[#All],[Prod_Name]:[Remarks]],3,0),"")</f>
        <v/>
      </c>
      <c r="G22" s="2"/>
      <c r="H22" s="2" t="str">
        <f>IFERROR(VLOOKUP(Table1[[#This Row],[Prod_Name]],Table4[[#All],[Prod_Name]:[Remarks]],5,0),"")</f>
        <v/>
      </c>
      <c r="I22" s="5" t="str">
        <f>IFERROR(VLOOKUP(Table1[[#This Row],[Prod_Name]],Table4[[#All],[Prod_Name]:[Remarks]],8,0),"")</f>
        <v/>
      </c>
      <c r="J22" s="5" t="str">
        <f>IFERROR(Table1[[#This Row],[Unit_Price]]*Table1[[#This Row],[Qty]],"")</f>
        <v/>
      </c>
      <c r="K22" s="5"/>
      <c r="M22" s="16"/>
      <c r="N22" s="2"/>
      <c r="O22" s="2" t="str">
        <f>IFERROR(VLOOKUP(Table3[[#This Row],[Prod_Name]],Table4[[#All],[Prod_Name]:[Remarks]],2,0),"")</f>
        <v/>
      </c>
      <c r="P22" s="2" t="str">
        <f>IFERROR(VLOOKUP(Table3[[#This Row],[Prod_Name]],Table4[[#All],[Prod_Name]:[Remarks]],3,0),"")</f>
        <v/>
      </c>
      <c r="Q22" s="2"/>
      <c r="R22" s="2" t="str">
        <f>IFERROR(VLOOKUP(Table3[[#This Row],[Prod_Name]],Table4[[#All],[Prod_Name]:[Remarks]],5,0),"")</f>
        <v/>
      </c>
      <c r="S22" s="5"/>
      <c r="U22" s="4"/>
      <c r="V22" s="2"/>
      <c r="W22" s="2"/>
      <c r="X22" s="2"/>
      <c r="Y22" s="2">
        <f>Table4[[#This Row],[Opening Balance]]+SUMIFS(Table1[Qty],Table1[Prod_Name],Table4[[#This Row],[Prod_Name]])-SUMIFS(Table3[Qty],Table3[Prod_Name],Table4[[#This Row],[Prod_Name]])</f>
        <v>0</v>
      </c>
      <c r="Z22" s="2"/>
      <c r="AA22" s="5"/>
      <c r="AB22" s="5" t="str">
        <f>IF(Table4[[#This Row],[Min Bal Required]]="","",IF(Table4[[#This Row],[Min Bal Required]]&lt;Table4[[#This Row],[Qty]],"","Place Order"))</f>
        <v/>
      </c>
      <c r="AC22" s="5"/>
      <c r="AD22" s="5"/>
    </row>
    <row r="23" spans="2:30" x14ac:dyDescent="0.25">
      <c r="B23" s="17"/>
      <c r="C23" s="19" t="str">
        <f>IF(Table1[[#This Row],[Date]]&lt;&gt;"",TEXT(Table1[[#This Row],[Date]],"mmm"),"")</f>
        <v/>
      </c>
      <c r="D23" s="7"/>
      <c r="E23" s="7" t="str">
        <f>IFERROR(VLOOKUP(Table1[[#This Row],[Prod_Name]],Table4[[#All],[Prod_Name]:[Remarks]],2,0),"")</f>
        <v/>
      </c>
      <c r="F23" s="7" t="str">
        <f>IFERROR(VLOOKUP(Table1[[#This Row],[Prod_Name]],Table4[[#All],[Prod_Name]:[Remarks]],3,0),"")</f>
        <v/>
      </c>
      <c r="G23" s="7"/>
      <c r="H23" s="7" t="str">
        <f>IFERROR(VLOOKUP(Table1[[#This Row],[Prod_Name]],Table4[[#All],[Prod_Name]:[Remarks]],5,0),"")</f>
        <v/>
      </c>
      <c r="I23" s="8" t="str">
        <f>IFERROR(VLOOKUP(Table1[[#This Row],[Prod_Name]],Table4[[#All],[Prod_Name]:[Remarks]],8,0),"")</f>
        <v/>
      </c>
      <c r="J23" s="8" t="str">
        <f>IFERROR(Table1[[#This Row],[Unit_Price]]*Table1[[#This Row],[Qty]],"")</f>
        <v/>
      </c>
      <c r="K23" s="8"/>
      <c r="M23" s="17"/>
      <c r="N23" s="2"/>
      <c r="O23" s="2" t="str">
        <f>IFERROR(VLOOKUP(Table3[[#This Row],[Prod_Name]],Table4[[#All],[Prod_Name]:[Remarks]],2,0),"")</f>
        <v/>
      </c>
      <c r="P23" s="2" t="str">
        <f>IFERROR(VLOOKUP(Table3[[#This Row],[Prod_Name]],Table4[[#All],[Prod_Name]:[Remarks]],3,0),"")</f>
        <v/>
      </c>
      <c r="Q23" s="2"/>
      <c r="R23" s="2" t="str">
        <f>IFERROR(VLOOKUP(Table3[[#This Row],[Prod_Name]],Table4[[#All],[Prod_Name]:[Remarks]],5,0),"")</f>
        <v/>
      </c>
      <c r="S23" s="8"/>
      <c r="U23" s="6"/>
      <c r="V23" s="7"/>
      <c r="W23" s="7"/>
      <c r="X23" s="2"/>
      <c r="Y23" s="2">
        <f>Table4[[#This Row],[Opening Balance]]+SUMIFS(Table1[Qty],Table1[Prod_Name],Table4[[#This Row],[Prod_Name]])-SUMIFS(Table3[Qty],Table3[Prod_Name],Table4[[#This Row],[Prod_Name]])</f>
        <v>0</v>
      </c>
      <c r="Z23" s="2"/>
      <c r="AA23" s="8"/>
      <c r="AB23" s="8" t="str">
        <f>IF(Table4[[#This Row],[Min Bal Required]]="","",IF(Table4[[#This Row],[Min Bal Required]]&lt;Table4[[#This Row],[Qty]],"","Place Order"))</f>
        <v/>
      </c>
      <c r="AC23" s="8"/>
      <c r="AD23" s="8"/>
    </row>
    <row r="27" spans="2:30" x14ac:dyDescent="0.25">
      <c r="U27" s="1" t="s">
        <v>53</v>
      </c>
    </row>
  </sheetData>
  <mergeCells count="5">
    <mergeCell ref="M5:S5"/>
    <mergeCell ref="B2:Z2"/>
    <mergeCell ref="B3:Z3"/>
    <mergeCell ref="B5:K5"/>
    <mergeCell ref="U5:AD5"/>
  </mergeCells>
  <dataValidations count="1">
    <dataValidation type="list" allowBlank="1" showInputMessage="1" showErrorMessage="1" sqref="D7:D23 N7:N23">
      <formula1>$V$7:$V$23</formula1>
    </dataValidation>
  </dataValidations>
  <pageMargins left="0.7" right="0.7" top="0.75" bottom="0.75" header="0.3" footer="0.3"/>
  <pageSetup orientation="portrait"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LIST!$B$4:$B$6</xm:f>
          </x14:formula1>
          <xm:sqref>X7:X23 F8:F23</xm:sqref>
        </x14:dataValidation>
        <x14:dataValidation type="list" allowBlank="1" showInputMessage="1" showErrorMessage="1">
          <x14:formula1>
            <xm:f>LIST!$C$4:$C$7</xm:f>
          </x14:formula1>
          <xm:sqref>Z7:Z23 H9:J23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I25"/>
  <sheetViews>
    <sheetView workbookViewId="0">
      <selection activeCell="F18" sqref="F18"/>
    </sheetView>
  </sheetViews>
  <sheetFormatPr defaultRowHeight="15" x14ac:dyDescent="0.25"/>
  <cols>
    <col min="1" max="1" width="13.140625" customWidth="1"/>
    <col min="2" max="2" width="10.7109375" customWidth="1"/>
    <col min="4" max="4" width="13.140625" customWidth="1"/>
    <col min="5" max="5" width="10.7109375" customWidth="1"/>
    <col min="7" max="7" width="17" customWidth="1"/>
    <col min="9" max="9" width="10.7109375" customWidth="1"/>
  </cols>
  <sheetData>
    <row r="3" spans="1:9" x14ac:dyDescent="0.25">
      <c r="A3" s="20" t="s">
        <v>65</v>
      </c>
      <c r="B3" t="s">
        <v>69</v>
      </c>
      <c r="D3" s="20" t="s">
        <v>65</v>
      </c>
      <c r="E3" t="s">
        <v>69</v>
      </c>
      <c r="G3" t="s">
        <v>69</v>
      </c>
      <c r="I3" s="23" t="s">
        <v>70</v>
      </c>
    </row>
    <row r="4" spans="1:9" x14ac:dyDescent="0.25">
      <c r="A4" s="21" t="s">
        <v>66</v>
      </c>
      <c r="B4" s="22">
        <v>430</v>
      </c>
      <c r="D4" s="21" t="s">
        <v>30</v>
      </c>
      <c r="E4" s="22">
        <v>666</v>
      </c>
      <c r="G4" s="22">
        <v>734</v>
      </c>
      <c r="I4" s="22">
        <v>7</v>
      </c>
    </row>
    <row r="5" spans="1:9" x14ac:dyDescent="0.25">
      <c r="A5" s="21" t="s">
        <v>67</v>
      </c>
      <c r="B5" s="22">
        <v>304</v>
      </c>
      <c r="D5" s="21" t="s">
        <v>29</v>
      </c>
      <c r="E5" s="22">
        <v>68</v>
      </c>
    </row>
    <row r="6" spans="1:9" x14ac:dyDescent="0.25">
      <c r="A6" s="21" t="s">
        <v>68</v>
      </c>
      <c r="B6" s="22">
        <v>734</v>
      </c>
      <c r="D6" s="21" t="s">
        <v>68</v>
      </c>
      <c r="E6" s="22">
        <v>734</v>
      </c>
      <c r="G6" t="s">
        <v>70</v>
      </c>
    </row>
    <row r="7" spans="1:9" x14ac:dyDescent="0.25">
      <c r="G7" s="22">
        <v>19</v>
      </c>
    </row>
    <row r="9" spans="1:9" x14ac:dyDescent="0.25">
      <c r="A9" s="20" t="s">
        <v>65</v>
      </c>
      <c r="B9" t="s">
        <v>70</v>
      </c>
      <c r="D9" s="20" t="s">
        <v>65</v>
      </c>
      <c r="E9" t="s">
        <v>70</v>
      </c>
    </row>
    <row r="10" spans="1:9" x14ac:dyDescent="0.25">
      <c r="A10" s="21" t="s">
        <v>28</v>
      </c>
      <c r="B10" s="22">
        <v>12</v>
      </c>
      <c r="D10" s="21" t="s">
        <v>43</v>
      </c>
      <c r="E10" s="22">
        <v>1</v>
      </c>
    </row>
    <row r="11" spans="1:9" x14ac:dyDescent="0.25">
      <c r="A11" s="21" t="s">
        <v>30</v>
      </c>
      <c r="B11" s="22">
        <v>22</v>
      </c>
      <c r="D11" s="21" t="s">
        <v>46</v>
      </c>
      <c r="E11" s="22">
        <v>6</v>
      </c>
    </row>
    <row r="12" spans="1:9" x14ac:dyDescent="0.25">
      <c r="A12" s="21" t="s">
        <v>29</v>
      </c>
      <c r="B12" s="22">
        <v>17</v>
      </c>
      <c r="D12" s="21" t="s">
        <v>20</v>
      </c>
      <c r="E12" s="22">
        <v>4</v>
      </c>
    </row>
    <row r="13" spans="1:9" x14ac:dyDescent="0.25">
      <c r="A13" s="21" t="s">
        <v>68</v>
      </c>
      <c r="B13" s="22">
        <v>51</v>
      </c>
      <c r="D13" s="21" t="s">
        <v>19</v>
      </c>
      <c r="E13" s="22">
        <v>5</v>
      </c>
    </row>
    <row r="14" spans="1:9" x14ac:dyDescent="0.25">
      <c r="D14" s="21" t="s">
        <v>49</v>
      </c>
      <c r="E14" s="22">
        <v>2</v>
      </c>
    </row>
    <row r="15" spans="1:9" x14ac:dyDescent="0.25">
      <c r="D15" s="21" t="s">
        <v>47</v>
      </c>
      <c r="E15" s="22">
        <v>8</v>
      </c>
    </row>
    <row r="16" spans="1:9" x14ac:dyDescent="0.25">
      <c r="D16" s="21" t="s">
        <v>44</v>
      </c>
      <c r="E16" s="22">
        <v>4</v>
      </c>
    </row>
    <row r="17" spans="1:5" x14ac:dyDescent="0.25">
      <c r="A17" s="24" t="s">
        <v>70</v>
      </c>
      <c r="D17" s="21" t="s">
        <v>45</v>
      </c>
      <c r="E17" s="22">
        <v>2</v>
      </c>
    </row>
    <row r="18" spans="1:5" x14ac:dyDescent="0.25">
      <c r="A18" s="22">
        <v>51</v>
      </c>
      <c r="D18" s="21" t="s">
        <v>16</v>
      </c>
      <c r="E18" s="22">
        <v>3</v>
      </c>
    </row>
    <row r="19" spans="1:5" x14ac:dyDescent="0.25">
      <c r="D19" s="21" t="s">
        <v>18</v>
      </c>
      <c r="E19" s="22">
        <v>4</v>
      </c>
    </row>
    <row r="20" spans="1:5" x14ac:dyDescent="0.25">
      <c r="D20" s="21" t="s">
        <v>15</v>
      </c>
      <c r="E20" s="22">
        <v>2</v>
      </c>
    </row>
    <row r="21" spans="1:5" x14ac:dyDescent="0.25">
      <c r="D21" s="21" t="s">
        <v>17</v>
      </c>
      <c r="E21" s="22">
        <v>2</v>
      </c>
    </row>
    <row r="22" spans="1:5" x14ac:dyDescent="0.25">
      <c r="D22" s="21" t="s">
        <v>14</v>
      </c>
      <c r="E22" s="22">
        <v>0</v>
      </c>
    </row>
    <row r="23" spans="1:5" x14ac:dyDescent="0.25">
      <c r="D23" s="21" t="s">
        <v>48</v>
      </c>
      <c r="E23" s="22">
        <v>8</v>
      </c>
    </row>
    <row r="24" spans="1:5" x14ac:dyDescent="0.25">
      <c r="D24" s="21" t="s">
        <v>72</v>
      </c>
      <c r="E24" s="22">
        <v>0</v>
      </c>
    </row>
    <row r="25" spans="1:5" x14ac:dyDescent="0.25">
      <c r="D25" s="21" t="s">
        <v>68</v>
      </c>
      <c r="E25" s="22">
        <v>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30"/>
  <sheetViews>
    <sheetView showGridLines="0" zoomScale="85" zoomScaleNormal="85" workbookViewId="0">
      <selection activeCell="Z30" sqref="Z30"/>
    </sheetView>
  </sheetViews>
  <sheetFormatPr defaultColWidth="8.7109375" defaultRowHeight="15" x14ac:dyDescent="0.25"/>
  <cols>
    <col min="1" max="1" width="2.140625" customWidth="1"/>
  </cols>
  <sheetData>
    <row r="1" spans="2:26" ht="9.75" customHeight="1" x14ac:dyDescent="0.25"/>
    <row r="2" spans="2:26" x14ac:dyDescent="0.25">
      <c r="B2" s="18"/>
      <c r="C2" s="18"/>
      <c r="D2" s="18"/>
      <c r="E2" s="18"/>
      <c r="F2" s="18"/>
      <c r="G2" s="18"/>
      <c r="H2" s="18"/>
      <c r="I2" s="18"/>
      <c r="J2" s="18"/>
      <c r="K2" s="18"/>
      <c r="L2" s="18"/>
      <c r="M2" s="18"/>
      <c r="N2" s="18" t="s">
        <v>53</v>
      </c>
      <c r="O2" s="18"/>
      <c r="P2" s="18"/>
      <c r="Q2" s="18"/>
      <c r="R2" s="18"/>
      <c r="S2" s="18"/>
      <c r="T2" s="18"/>
      <c r="U2" s="18"/>
      <c r="V2" s="18"/>
      <c r="W2" s="18"/>
      <c r="X2" s="18"/>
      <c r="Y2" s="18"/>
      <c r="Z2" s="18"/>
    </row>
    <row r="3" spans="2:26" ht="15" customHeight="1" x14ac:dyDescent="0.25">
      <c r="B3" s="18"/>
      <c r="C3" s="36" t="s">
        <v>61</v>
      </c>
      <c r="D3" s="36"/>
      <c r="E3" s="36"/>
      <c r="F3" s="18"/>
      <c r="G3" s="38" t="s">
        <v>54</v>
      </c>
      <c r="H3" s="38"/>
      <c r="I3" s="38"/>
      <c r="J3" s="38"/>
      <c r="K3" s="38"/>
      <c r="L3" s="38"/>
      <c r="M3" s="38"/>
      <c r="N3" s="38"/>
      <c r="O3" s="38"/>
      <c r="P3" s="38"/>
      <c r="Q3" s="38"/>
      <c r="R3" s="38"/>
      <c r="S3" s="38"/>
      <c r="T3" s="38"/>
      <c r="U3" s="38"/>
      <c r="V3" s="18"/>
      <c r="W3" s="18"/>
      <c r="X3" s="18"/>
      <c r="Y3" s="18"/>
      <c r="Z3" s="18"/>
    </row>
    <row r="4" spans="2:26" ht="15" customHeight="1" x14ac:dyDescent="0.25">
      <c r="B4" s="18"/>
      <c r="C4" s="36"/>
      <c r="D4" s="36"/>
      <c r="E4" s="36"/>
      <c r="F4" s="18"/>
      <c r="G4" s="38"/>
      <c r="H4" s="38"/>
      <c r="I4" s="38"/>
      <c r="J4" s="38"/>
      <c r="K4" s="38"/>
      <c r="L4" s="38"/>
      <c r="M4" s="38"/>
      <c r="N4" s="38"/>
      <c r="O4" s="38"/>
      <c r="P4" s="38"/>
      <c r="Q4" s="38"/>
      <c r="R4" s="38"/>
      <c r="S4" s="38"/>
      <c r="T4" s="38"/>
      <c r="U4" s="38"/>
      <c r="V4" s="18"/>
      <c r="W4" s="18"/>
      <c r="X4" s="18"/>
      <c r="Y4" s="18"/>
      <c r="Z4" s="18"/>
    </row>
    <row r="5" spans="2:26" ht="15" customHeight="1" x14ac:dyDescent="0.25">
      <c r="B5" s="18"/>
      <c r="C5" s="36"/>
      <c r="D5" s="36"/>
      <c r="E5" s="36"/>
      <c r="F5" s="18"/>
      <c r="G5" s="38"/>
      <c r="H5" s="38"/>
      <c r="I5" s="38"/>
      <c r="J5" s="38"/>
      <c r="K5" s="38"/>
      <c r="L5" s="38"/>
      <c r="M5" s="38"/>
      <c r="N5" s="38"/>
      <c r="O5" s="38"/>
      <c r="P5" s="38"/>
      <c r="Q5" s="38"/>
      <c r="R5" s="38"/>
      <c r="S5" s="38"/>
      <c r="T5" s="38"/>
      <c r="U5" s="38"/>
      <c r="V5" s="18"/>
      <c r="W5" s="18"/>
      <c r="X5" s="18"/>
      <c r="Y5" s="18"/>
      <c r="Z5" s="18"/>
    </row>
    <row r="6" spans="2:26" ht="15" customHeight="1" x14ac:dyDescent="0.25">
      <c r="B6" s="18"/>
      <c r="C6" s="36"/>
      <c r="D6" s="36"/>
      <c r="E6" s="36"/>
      <c r="F6" s="18"/>
      <c r="G6" s="18"/>
      <c r="H6" s="18"/>
      <c r="I6" s="18"/>
      <c r="J6" s="18"/>
      <c r="K6" s="18"/>
      <c r="L6" s="18"/>
      <c r="M6" s="18"/>
      <c r="N6" s="18"/>
      <c r="O6" s="18"/>
      <c r="P6" s="18"/>
      <c r="Q6" s="18"/>
      <c r="R6" s="18"/>
      <c r="S6" s="18"/>
      <c r="T6" s="18"/>
      <c r="U6" s="18"/>
      <c r="V6" s="18"/>
      <c r="W6" s="18"/>
      <c r="X6" s="18"/>
      <c r="Y6" s="18"/>
      <c r="Z6" s="18"/>
    </row>
    <row r="7" spans="2:26" ht="15" customHeight="1" x14ac:dyDescent="0.25">
      <c r="B7" s="18"/>
      <c r="C7" s="18"/>
      <c r="D7" s="18"/>
      <c r="E7" s="18"/>
      <c r="F7" s="18"/>
      <c r="G7" s="35" t="s">
        <v>55</v>
      </c>
      <c r="H7" s="35"/>
      <c r="I7" s="35"/>
      <c r="J7" s="18"/>
      <c r="K7" s="35" t="s">
        <v>57</v>
      </c>
      <c r="L7" s="35"/>
      <c r="M7" s="35"/>
      <c r="N7" s="18"/>
      <c r="O7" s="35" t="s">
        <v>56</v>
      </c>
      <c r="P7" s="35"/>
      <c r="Q7" s="35"/>
      <c r="R7" s="18"/>
      <c r="S7" s="35" t="s">
        <v>58</v>
      </c>
      <c r="T7" s="35"/>
      <c r="U7" s="35"/>
      <c r="V7" s="18"/>
      <c r="W7" s="34" t="s">
        <v>59</v>
      </c>
      <c r="X7" s="34"/>
      <c r="Y7" s="34"/>
      <c r="Z7" s="18"/>
    </row>
    <row r="8" spans="2:26" ht="15" customHeight="1" x14ac:dyDescent="0.25">
      <c r="B8" s="18"/>
      <c r="C8" s="18"/>
      <c r="D8" s="18"/>
      <c r="E8" s="18"/>
      <c r="F8" s="18"/>
      <c r="G8" s="35"/>
      <c r="H8" s="35"/>
      <c r="I8" s="35"/>
      <c r="J8" s="18"/>
      <c r="K8" s="35"/>
      <c r="L8" s="35"/>
      <c r="M8" s="35"/>
      <c r="N8" s="18"/>
      <c r="O8" s="35"/>
      <c r="P8" s="35"/>
      <c r="Q8" s="35"/>
      <c r="R8" s="18"/>
      <c r="S8" s="35"/>
      <c r="T8" s="35"/>
      <c r="U8" s="35"/>
      <c r="V8" s="18"/>
      <c r="W8" s="34"/>
      <c r="X8" s="34"/>
      <c r="Y8" s="34"/>
      <c r="Z8" s="18"/>
    </row>
    <row r="9" spans="2:26" ht="12.75" customHeight="1" x14ac:dyDescent="0.25">
      <c r="B9" s="18"/>
      <c r="C9" s="18"/>
      <c r="D9" s="18"/>
      <c r="E9" s="18"/>
      <c r="F9" s="18"/>
      <c r="G9" s="39">
        <f>GETPIVOTDATA("Qty",'Pivot Table'!$A$17)</f>
        <v>51</v>
      </c>
      <c r="H9" s="39"/>
      <c r="I9" s="39"/>
      <c r="J9" s="18"/>
      <c r="K9" s="39">
        <f>GETPIVOTDATA("Qty",'Pivot Table'!$G$6)</f>
        <v>19</v>
      </c>
      <c r="L9" s="39"/>
      <c r="M9" s="39"/>
      <c r="N9" s="18"/>
      <c r="O9" s="39">
        <f>GETPIVOTDATA("Qty",'Pivot Table'!$I$3)</f>
        <v>7</v>
      </c>
      <c r="P9" s="39"/>
      <c r="Q9" s="39"/>
      <c r="R9" s="18"/>
      <c r="S9" s="40">
        <f>GETPIVOTDATA("Total_Cost",'Pivot Table'!$G$3)</f>
        <v>734</v>
      </c>
      <c r="T9" s="40"/>
      <c r="U9" s="40"/>
      <c r="V9" s="18"/>
      <c r="W9" s="34"/>
      <c r="X9" s="34"/>
      <c r="Y9" s="34"/>
      <c r="Z9" s="18"/>
    </row>
    <row r="10" spans="2:26" ht="19.5" customHeight="1" x14ac:dyDescent="0.25">
      <c r="B10" s="18"/>
      <c r="C10" s="18"/>
      <c r="D10" s="18"/>
      <c r="E10" s="18"/>
      <c r="F10" s="18"/>
      <c r="G10" s="39"/>
      <c r="H10" s="39"/>
      <c r="I10" s="39"/>
      <c r="J10" s="18"/>
      <c r="K10" s="39"/>
      <c r="L10" s="39"/>
      <c r="M10" s="39"/>
      <c r="N10" s="18"/>
      <c r="O10" s="39"/>
      <c r="P10" s="39"/>
      <c r="Q10" s="39"/>
      <c r="R10" s="18"/>
      <c r="S10" s="40"/>
      <c r="T10" s="40"/>
      <c r="U10" s="40"/>
      <c r="V10" s="18"/>
      <c r="W10" s="34"/>
      <c r="X10" s="34"/>
      <c r="Y10" s="34"/>
      <c r="Z10" s="18"/>
    </row>
    <row r="11" spans="2:26" ht="12" customHeight="1" x14ac:dyDescent="0.25">
      <c r="B11" s="18"/>
      <c r="C11" s="18"/>
      <c r="D11" s="18"/>
      <c r="E11" s="18"/>
      <c r="F11" s="18"/>
      <c r="G11" s="18"/>
      <c r="H11" s="18"/>
      <c r="I11" s="18"/>
      <c r="J11" s="18"/>
      <c r="K11" s="18"/>
      <c r="L11" s="18"/>
      <c r="M11" s="18"/>
      <c r="N11" s="18"/>
      <c r="O11" s="18"/>
      <c r="P11" s="18"/>
      <c r="Q11" s="18"/>
      <c r="R11" s="18"/>
      <c r="S11" s="18"/>
      <c r="T11" s="18"/>
      <c r="U11" s="18"/>
      <c r="V11" s="18"/>
      <c r="W11" s="18"/>
      <c r="X11" s="18"/>
      <c r="Y11" s="18"/>
      <c r="Z11" s="18"/>
    </row>
    <row r="12" spans="2:26" ht="10.5" customHeight="1" x14ac:dyDescent="0.25">
      <c r="B12" s="18"/>
      <c r="C12" s="18"/>
      <c r="D12" s="18"/>
      <c r="E12" s="18"/>
      <c r="F12" s="18"/>
      <c r="G12" s="35" t="s">
        <v>60</v>
      </c>
      <c r="H12" s="35"/>
      <c r="I12" s="35"/>
      <c r="J12" s="35"/>
      <c r="K12" s="35"/>
      <c r="L12" s="35"/>
      <c r="M12" s="35"/>
      <c r="N12" s="18"/>
      <c r="O12" s="35" t="s">
        <v>60</v>
      </c>
      <c r="P12" s="35"/>
      <c r="Q12" s="35"/>
      <c r="R12" s="35"/>
      <c r="S12" s="35"/>
      <c r="T12" s="35"/>
      <c r="U12" s="35"/>
      <c r="V12" s="18"/>
      <c r="Z12" s="18"/>
    </row>
    <row r="13" spans="2:26" x14ac:dyDescent="0.25">
      <c r="B13" s="18"/>
      <c r="C13" s="18"/>
      <c r="D13" s="18"/>
      <c r="E13" s="18"/>
      <c r="F13" s="18"/>
      <c r="G13" s="35"/>
      <c r="H13" s="35"/>
      <c r="I13" s="35"/>
      <c r="J13" s="35"/>
      <c r="K13" s="35"/>
      <c r="L13" s="35"/>
      <c r="M13" s="35"/>
      <c r="N13" s="18"/>
      <c r="O13" s="35"/>
      <c r="P13" s="35"/>
      <c r="Q13" s="35"/>
      <c r="R13" s="35"/>
      <c r="S13" s="35"/>
      <c r="T13" s="35"/>
      <c r="U13" s="35"/>
      <c r="V13" s="18"/>
      <c r="Z13" s="18"/>
    </row>
    <row r="14" spans="2:26" x14ac:dyDescent="0.25">
      <c r="B14" s="18"/>
      <c r="C14" s="18"/>
      <c r="D14" s="18"/>
      <c r="E14" s="18"/>
      <c r="F14" s="18"/>
      <c r="G14" s="37"/>
      <c r="H14" s="37"/>
      <c r="I14" s="37"/>
      <c r="J14" s="37"/>
      <c r="K14" s="37"/>
      <c r="L14" s="37"/>
      <c r="M14" s="37"/>
      <c r="N14" s="18"/>
      <c r="O14" s="37"/>
      <c r="P14" s="37"/>
      <c r="Q14" s="37"/>
      <c r="R14" s="37"/>
      <c r="S14" s="37"/>
      <c r="T14" s="37"/>
      <c r="U14" s="37"/>
      <c r="V14" s="18"/>
      <c r="Z14" s="18"/>
    </row>
    <row r="15" spans="2:26" x14ac:dyDescent="0.25">
      <c r="B15" s="18"/>
      <c r="C15" s="18"/>
      <c r="D15" s="18"/>
      <c r="E15" s="18"/>
      <c r="F15" s="18"/>
      <c r="G15" s="37"/>
      <c r="H15" s="37"/>
      <c r="I15" s="37"/>
      <c r="J15" s="37"/>
      <c r="K15" s="37"/>
      <c r="L15" s="37"/>
      <c r="M15" s="37"/>
      <c r="N15" s="18"/>
      <c r="O15" s="37"/>
      <c r="P15" s="37"/>
      <c r="Q15" s="37"/>
      <c r="R15" s="37"/>
      <c r="S15" s="37"/>
      <c r="T15" s="37"/>
      <c r="U15" s="37"/>
      <c r="V15" s="18"/>
      <c r="Z15" s="18"/>
    </row>
    <row r="16" spans="2:26" x14ac:dyDescent="0.25">
      <c r="B16" s="18"/>
      <c r="C16" s="18"/>
      <c r="D16" s="18"/>
      <c r="E16" s="18"/>
      <c r="F16" s="18"/>
      <c r="G16" s="37"/>
      <c r="H16" s="37"/>
      <c r="I16" s="37"/>
      <c r="J16" s="37"/>
      <c r="K16" s="37"/>
      <c r="L16" s="37"/>
      <c r="M16" s="37"/>
      <c r="N16" s="18"/>
      <c r="O16" s="37"/>
      <c r="P16" s="37"/>
      <c r="Q16" s="37"/>
      <c r="R16" s="37"/>
      <c r="S16" s="37"/>
      <c r="T16" s="37"/>
      <c r="U16" s="37"/>
      <c r="V16" s="18"/>
      <c r="Z16" s="18"/>
    </row>
    <row r="17" spans="1:26" x14ac:dyDescent="0.25">
      <c r="B17" s="18"/>
      <c r="C17" s="18"/>
      <c r="D17" s="18"/>
      <c r="E17" s="18"/>
      <c r="F17" s="18"/>
      <c r="G17" s="37"/>
      <c r="H17" s="37"/>
      <c r="I17" s="37"/>
      <c r="J17" s="37"/>
      <c r="K17" s="37"/>
      <c r="L17" s="37"/>
      <c r="M17" s="37"/>
      <c r="N17" s="18"/>
      <c r="O17" s="37"/>
      <c r="P17" s="37"/>
      <c r="Q17" s="37"/>
      <c r="R17" s="37"/>
      <c r="S17" s="37"/>
      <c r="T17" s="37"/>
      <c r="U17" s="37"/>
      <c r="V17" s="18"/>
      <c r="Z17" s="18"/>
    </row>
    <row r="18" spans="1:26" x14ac:dyDescent="0.25">
      <c r="B18" s="18"/>
      <c r="C18" s="18"/>
      <c r="D18" s="18"/>
      <c r="E18" s="18"/>
      <c r="F18" s="18"/>
      <c r="G18" s="37"/>
      <c r="H18" s="37"/>
      <c r="I18" s="37"/>
      <c r="J18" s="37"/>
      <c r="K18" s="37"/>
      <c r="L18" s="37"/>
      <c r="M18" s="37"/>
      <c r="N18" s="18"/>
      <c r="O18" s="37"/>
      <c r="P18" s="37"/>
      <c r="Q18" s="37"/>
      <c r="R18" s="37"/>
      <c r="S18" s="37"/>
      <c r="T18" s="37"/>
      <c r="U18" s="37"/>
      <c r="V18" s="18"/>
      <c r="Z18" s="18"/>
    </row>
    <row r="19" spans="1:26" x14ac:dyDescent="0.25">
      <c r="B19" s="18"/>
      <c r="C19" s="18"/>
      <c r="D19" s="18"/>
      <c r="E19" s="18"/>
      <c r="F19" s="18"/>
      <c r="G19" s="37"/>
      <c r="H19" s="37"/>
      <c r="I19" s="37"/>
      <c r="J19" s="37"/>
      <c r="K19" s="37"/>
      <c r="L19" s="37"/>
      <c r="M19" s="37"/>
      <c r="N19" s="18"/>
      <c r="O19" s="37"/>
      <c r="P19" s="37"/>
      <c r="Q19" s="37"/>
      <c r="R19" s="37"/>
      <c r="S19" s="37"/>
      <c r="T19" s="37"/>
      <c r="U19" s="37"/>
      <c r="V19" s="18"/>
      <c r="Z19" s="18"/>
    </row>
    <row r="20" spans="1:26" x14ac:dyDescent="0.25">
      <c r="B20" s="18"/>
      <c r="C20" s="18"/>
      <c r="D20" s="18"/>
      <c r="E20" s="18"/>
      <c r="F20" s="18"/>
      <c r="G20" s="37"/>
      <c r="H20" s="37"/>
      <c r="I20" s="37"/>
      <c r="J20" s="37"/>
      <c r="K20" s="37"/>
      <c r="L20" s="37"/>
      <c r="M20" s="37"/>
      <c r="N20" s="18"/>
      <c r="O20" s="37"/>
      <c r="P20" s="37"/>
      <c r="Q20" s="37"/>
      <c r="R20" s="37"/>
      <c r="S20" s="37"/>
      <c r="T20" s="37"/>
      <c r="U20" s="37"/>
      <c r="V20" s="18"/>
      <c r="Z20" s="18"/>
    </row>
    <row r="21" spans="1:26" x14ac:dyDescent="0.25">
      <c r="B21" s="18"/>
      <c r="C21" s="18"/>
      <c r="D21" s="18"/>
      <c r="E21" s="18"/>
      <c r="F21" s="18"/>
      <c r="G21" s="37"/>
      <c r="H21" s="37"/>
      <c r="I21" s="37"/>
      <c r="J21" s="37"/>
      <c r="K21" s="37"/>
      <c r="L21" s="37"/>
      <c r="M21" s="37"/>
      <c r="N21" s="18"/>
      <c r="O21" s="37"/>
      <c r="P21" s="37"/>
      <c r="Q21" s="37"/>
      <c r="R21" s="37"/>
      <c r="S21" s="37"/>
      <c r="T21" s="37"/>
      <c r="U21" s="37"/>
      <c r="V21" s="18"/>
      <c r="Z21" s="18"/>
    </row>
    <row r="22" spans="1:26" x14ac:dyDescent="0.25">
      <c r="B22" s="18"/>
      <c r="C22" s="18"/>
      <c r="D22" s="18"/>
      <c r="E22" s="18"/>
      <c r="F22" s="18"/>
      <c r="G22" s="37"/>
      <c r="H22" s="37"/>
      <c r="I22" s="37"/>
      <c r="J22" s="37"/>
      <c r="K22" s="37"/>
      <c r="L22" s="37"/>
      <c r="M22" s="37"/>
      <c r="N22" s="18"/>
      <c r="O22" s="37"/>
      <c r="P22" s="37"/>
      <c r="Q22" s="37"/>
      <c r="R22" s="37"/>
      <c r="S22" s="37"/>
      <c r="T22" s="37"/>
      <c r="U22" s="37"/>
      <c r="V22" s="18"/>
      <c r="Z22" s="18"/>
    </row>
    <row r="23" spans="1:26" x14ac:dyDescent="0.25">
      <c r="B23" s="18"/>
      <c r="C23" s="18"/>
      <c r="D23" s="18"/>
      <c r="E23" s="18"/>
      <c r="F23" s="18"/>
      <c r="G23" s="37"/>
      <c r="H23" s="37"/>
      <c r="I23" s="37"/>
      <c r="J23" s="37"/>
      <c r="K23" s="37"/>
      <c r="L23" s="37"/>
      <c r="M23" s="37"/>
      <c r="N23" s="18"/>
      <c r="O23" s="37"/>
      <c r="P23" s="37"/>
      <c r="Q23" s="37"/>
      <c r="R23" s="37"/>
      <c r="S23" s="37"/>
      <c r="T23" s="37"/>
      <c r="U23" s="37"/>
      <c r="V23" s="18"/>
      <c r="Z23" s="18"/>
    </row>
    <row r="24" spans="1:26" x14ac:dyDescent="0.25">
      <c r="B24" s="18"/>
      <c r="C24" s="18"/>
      <c r="D24" s="18"/>
      <c r="E24" s="18"/>
      <c r="F24" s="18"/>
      <c r="G24" s="18"/>
      <c r="H24" s="18"/>
      <c r="I24" s="18"/>
      <c r="J24" s="18"/>
      <c r="K24" s="18"/>
      <c r="L24" s="18"/>
      <c r="M24" s="18"/>
      <c r="N24" s="18"/>
      <c r="O24" s="18"/>
      <c r="P24" s="18"/>
      <c r="Q24" s="18"/>
      <c r="R24" s="18"/>
      <c r="S24" s="18"/>
      <c r="T24" s="18"/>
      <c r="U24" s="18"/>
      <c r="V24" s="18"/>
      <c r="Z24" s="18"/>
    </row>
    <row r="25" spans="1:26" x14ac:dyDescent="0.25">
      <c r="B25" s="18"/>
      <c r="C25" s="18"/>
      <c r="D25" s="18"/>
      <c r="E25" s="18"/>
      <c r="F25" s="18"/>
      <c r="G25" s="18"/>
      <c r="H25" s="18"/>
      <c r="I25" s="18"/>
      <c r="J25" s="18"/>
      <c r="K25" s="18"/>
      <c r="L25" s="18"/>
      <c r="M25" s="18"/>
      <c r="N25" s="18"/>
      <c r="O25" s="18"/>
      <c r="P25" s="18"/>
      <c r="Q25" s="18"/>
      <c r="R25" s="18"/>
      <c r="S25" s="18"/>
      <c r="T25" s="18"/>
      <c r="U25" s="18"/>
      <c r="V25" s="18"/>
      <c r="Z25" s="18"/>
    </row>
    <row r="26" spans="1:26" x14ac:dyDescent="0.25">
      <c r="B26" s="18"/>
      <c r="C26" s="18"/>
      <c r="D26" s="18"/>
      <c r="E26" s="18"/>
      <c r="F26" s="18"/>
      <c r="G26" s="18"/>
      <c r="H26" s="18"/>
      <c r="I26" s="18"/>
      <c r="J26" s="18"/>
      <c r="K26" s="18"/>
      <c r="L26" s="18"/>
      <c r="M26" s="18"/>
      <c r="N26" s="18"/>
      <c r="O26" s="18"/>
      <c r="P26" s="18"/>
      <c r="Q26" s="18"/>
      <c r="R26" s="18"/>
      <c r="S26" s="18"/>
      <c r="T26" s="18"/>
      <c r="U26" s="18"/>
      <c r="V26" s="18"/>
      <c r="Z26" s="18"/>
    </row>
    <row r="27" spans="1:26" x14ac:dyDescent="0.25">
      <c r="B27" s="18"/>
      <c r="C27" s="18"/>
      <c r="D27" s="18"/>
      <c r="E27" s="18"/>
      <c r="F27" s="18"/>
      <c r="G27" s="18"/>
      <c r="H27" s="18"/>
      <c r="I27" s="18"/>
      <c r="J27" s="18"/>
      <c r="K27" s="18"/>
      <c r="L27" s="18"/>
      <c r="M27" s="18"/>
      <c r="N27" s="18"/>
      <c r="O27" s="18"/>
      <c r="P27" s="18"/>
      <c r="Q27" s="18"/>
      <c r="R27" s="18"/>
      <c r="S27" s="18"/>
      <c r="T27" s="18"/>
      <c r="U27" s="18"/>
      <c r="V27" s="18"/>
      <c r="Z27" s="18"/>
    </row>
    <row r="28" spans="1:26" x14ac:dyDescent="0.25">
      <c r="B28" s="18"/>
      <c r="C28" s="18"/>
      <c r="D28" s="18"/>
      <c r="E28" s="18"/>
      <c r="F28" s="18"/>
      <c r="G28" s="18"/>
      <c r="H28" s="18"/>
      <c r="I28" s="18"/>
      <c r="J28" s="18"/>
      <c r="K28" s="18"/>
      <c r="L28" s="18"/>
      <c r="M28" s="18"/>
      <c r="N28" s="18"/>
      <c r="O28" s="18"/>
      <c r="P28" s="18"/>
      <c r="Q28" s="18"/>
      <c r="R28" s="18"/>
      <c r="S28" s="18"/>
      <c r="T28" s="18"/>
      <c r="U28" s="18"/>
      <c r="V28" s="18"/>
      <c r="Z28" s="18"/>
    </row>
    <row r="29" spans="1:26" x14ac:dyDescent="0.25">
      <c r="B29" s="18"/>
      <c r="C29" s="18"/>
      <c r="D29" s="18"/>
      <c r="E29" s="18"/>
      <c r="F29" s="18"/>
      <c r="G29" s="18"/>
      <c r="H29" s="18"/>
      <c r="I29" s="18"/>
      <c r="J29" s="18"/>
      <c r="K29" s="18"/>
      <c r="L29" s="18"/>
      <c r="M29" s="18"/>
      <c r="N29" s="18"/>
      <c r="O29" s="18"/>
      <c r="P29" s="18"/>
      <c r="Q29" s="18"/>
      <c r="R29" s="18"/>
      <c r="S29" s="18"/>
      <c r="T29" s="18"/>
      <c r="U29" s="18"/>
      <c r="V29" s="18"/>
      <c r="Z29" s="18"/>
    </row>
    <row r="30" spans="1:26" s="18" customFormat="1" x14ac:dyDescent="0.25">
      <c r="A30"/>
    </row>
  </sheetData>
  <mergeCells count="15">
    <mergeCell ref="W7:Y10"/>
    <mergeCell ref="G12:M13"/>
    <mergeCell ref="O12:U13"/>
    <mergeCell ref="C3:E6"/>
    <mergeCell ref="G14:M23"/>
    <mergeCell ref="G3:U5"/>
    <mergeCell ref="G7:I8"/>
    <mergeCell ref="G9:I10"/>
    <mergeCell ref="K7:M8"/>
    <mergeCell ref="O7:Q8"/>
    <mergeCell ref="S7:U8"/>
    <mergeCell ref="O14:U23"/>
    <mergeCell ref="K9:M10"/>
    <mergeCell ref="O9:Q10"/>
    <mergeCell ref="S9:U10"/>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C7"/>
  <sheetViews>
    <sheetView tabSelected="1" workbookViewId="0">
      <selection activeCell="E11" sqref="E11"/>
    </sheetView>
  </sheetViews>
  <sheetFormatPr defaultRowHeight="15" x14ac:dyDescent="0.25"/>
  <sheetData>
    <row r="3" spans="2:3" x14ac:dyDescent="0.25">
      <c r="B3" s="3" t="s">
        <v>12</v>
      </c>
      <c r="C3" s="3" t="s">
        <v>13</v>
      </c>
    </row>
    <row r="4" spans="2:3" x14ac:dyDescent="0.25">
      <c r="B4" t="s">
        <v>28</v>
      </c>
      <c r="C4" t="s">
        <v>33</v>
      </c>
    </row>
    <row r="5" spans="2:3" x14ac:dyDescent="0.25">
      <c r="B5" t="s">
        <v>29</v>
      </c>
      <c r="C5" t="s">
        <v>34</v>
      </c>
    </row>
    <row r="6" spans="2:3" x14ac:dyDescent="0.25">
      <c r="B6" t="s">
        <v>30</v>
      </c>
      <c r="C6" t="s">
        <v>31</v>
      </c>
    </row>
    <row r="7" spans="2:3" x14ac:dyDescent="0.25">
      <c r="C7" t="s">
        <v>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Extra</vt:lpstr>
      <vt:lpstr>Inventory</vt:lpstr>
      <vt:lpstr>Pivot Table</vt:lpstr>
      <vt:lpstr>DASHBOARD</vt:lpstr>
      <vt:lpstr>Connections</vt:lpstr>
      <vt:lpstr>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chetan3427@gmail.com</dc:creator>
  <cp:lastModifiedBy>chetan3427@gmail.com</cp:lastModifiedBy>
  <dcterms:created xsi:type="dcterms:W3CDTF">2025-07-08T14:41:45Z</dcterms:created>
  <dcterms:modified xsi:type="dcterms:W3CDTF">2025-08-02T11:52:13Z</dcterms:modified>
</cp:coreProperties>
</file>